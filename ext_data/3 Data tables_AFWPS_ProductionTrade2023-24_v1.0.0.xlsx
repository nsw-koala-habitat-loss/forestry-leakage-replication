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J:\LandAndForest\ForestLandEconomics\_Data\AFWPS\46 AFWPS - May 25\Final - published\"/>
    </mc:Choice>
  </mc:AlternateContent>
  <xr:revisionPtr revIDLastSave="0" documentId="13_ncr:1_{2501FAA5-11CE-4A33-A2BA-5EBCDD9F0561}" xr6:coauthVersionLast="47" xr6:coauthVersionMax="47" xr10:uidLastSave="{00000000-0000-0000-0000-000000000000}"/>
  <bookViews>
    <workbookView xWindow="-38510" yWindow="-10800" windowWidth="38620" windowHeight="21100" tabRatio="697" xr2:uid="{481070CF-DD88-4E04-895A-117C22A92536}"/>
  </bookViews>
  <sheets>
    <sheet name="Note" sheetId="1" r:id="rId1"/>
    <sheet name="Overview" sheetId="31" r:id="rId2"/>
    <sheet name="Native forest area" sheetId="2" r:id="rId3"/>
    <sheet name="Plantation areas" sheetId="32" r:id="rId4"/>
    <sheet name="Plantation estb." sheetId="33" r:id="rId5"/>
    <sheet name="Logs harvested" sheetId="34" r:id="rId6"/>
    <sheet name="GVP logs" sheetId="35" r:id="rId7"/>
    <sheet name="Vol logs state" sheetId="36" r:id="rId8"/>
    <sheet name="Val logs state" sheetId="37" r:id="rId9"/>
    <sheet name="Logs vol type" sheetId="38" r:id="rId10"/>
    <sheet name="Log price ind" sheetId="39" r:id="rId11"/>
    <sheet name="Logs cons" sheetId="40" r:id="rId12"/>
    <sheet name="Production - annual" sheetId="41" r:id="rId13"/>
    <sheet name="Sawn prod state" sheetId="43" r:id="rId14"/>
    <sheet name="Ind sales - type" sheetId="44" r:id="rId15"/>
    <sheet name="Ind sales - state" sheetId="45" r:id="rId16"/>
    <sheet name="Val add" sheetId="46" r:id="rId17"/>
    <sheet name="Wages" sheetId="47" r:id="rId18"/>
    <sheet name="Employment - LF" sheetId="48" r:id="rId19"/>
    <sheet name="Employment - Census" sheetId="59" r:id="rId20"/>
    <sheet name="Sel price ind - annual" sheetId="50" r:id="rId21"/>
    <sheet name="Sel price ind - quarterly" sheetId="51" r:id="rId22"/>
    <sheet name="App cons - annual" sheetId="52" r:id="rId23"/>
    <sheet name="Housing - annual" sheetId="54" r:id="rId24"/>
    <sheet name="Housing - quarterly" sheetId="55" r:id="rId25"/>
    <sheet name="Rec paper" sheetId="56" r:id="rId26"/>
    <sheet name="Imports" sheetId="57" r:id="rId27"/>
    <sheet name="Exports" sheetId="58" r:id="rId28"/>
  </sheets>
  <externalReferences>
    <externalReference r:id="rId2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Y19" i="56" l="1"/>
  <c r="X19" i="56" l="1"/>
  <c r="W19" i="56"/>
  <c r="V19" i="56"/>
  <c r="U19" i="56"/>
  <c r="T19" i="56"/>
  <c r="X34" i="48" l="1"/>
  <c r="W34" i="48"/>
  <c r="Q38" i="47"/>
  <c r="R38" i="47"/>
  <c r="S38" i="47"/>
  <c r="T38" i="47"/>
  <c r="F38" i="47" l="1"/>
  <c r="E38" i="47"/>
  <c r="G38" i="47"/>
  <c r="H38" i="47"/>
  <c r="I38" i="47"/>
  <c r="J38" i="47"/>
  <c r="K38" i="47"/>
  <c r="L38" i="47"/>
  <c r="M38" i="47"/>
  <c r="N38" i="47"/>
  <c r="O38" i="47"/>
  <c r="P38" i="47"/>
</calcChain>
</file>

<file path=xl/sharedStrings.xml><?xml version="1.0" encoding="utf-8"?>
<sst xmlns="http://schemas.openxmlformats.org/spreadsheetml/2006/main" count="3949" uniqueCount="426">
  <si>
    <t>AFWPS datasets</t>
  </si>
  <si>
    <t>Data tables</t>
  </si>
  <si>
    <t xml:space="preserve">  </t>
  </si>
  <si>
    <t>Plantation area may increase or decrease between reporting years as new plantations are established, some plantation areas are removed which growers and managers deem to be commercially unviable, some plantations are not re-established after harvest and as growers and managers provide revised net planted and fallow areas for their plantation estates. Source: Australian plantation statistics update, ABARES, Canberra.</t>
  </si>
  <si>
    <t>’000 ha</t>
  </si>
  <si>
    <t>Total native forest a</t>
  </si>
  <si>
    <t>Unresolved tenure</t>
  </si>
  <si>
    <t>Private</t>
  </si>
  <si>
    <t>Total Crown</t>
  </si>
  <si>
    <r>
      <t xml:space="preserve">Leasehold </t>
    </r>
    <r>
      <rPr>
        <b/>
        <sz val="9"/>
        <color indexed="8"/>
        <rFont val="Calibri"/>
        <family val="2"/>
        <scheme val="minor"/>
      </rPr>
      <t>e</t>
    </r>
  </si>
  <si>
    <r>
      <t xml:space="preserve">Other Crown land </t>
    </r>
    <r>
      <rPr>
        <b/>
        <sz val="9"/>
        <color indexed="8"/>
        <rFont val="Calibri"/>
        <family val="2"/>
        <scheme val="minor"/>
      </rPr>
      <t>d</t>
    </r>
  </si>
  <si>
    <r>
      <t xml:space="preserve">Nature conservation reserve </t>
    </r>
    <r>
      <rPr>
        <b/>
        <sz val="9"/>
        <color indexed="8"/>
        <rFont val="Calibri"/>
        <family val="2"/>
        <scheme val="minor"/>
      </rPr>
      <t>c</t>
    </r>
  </si>
  <si>
    <r>
      <t xml:space="preserve">Multiple use forests </t>
    </r>
    <r>
      <rPr>
        <b/>
        <sz val="9"/>
        <color indexed="8"/>
        <rFont val="Calibri"/>
        <family val="2"/>
        <scheme val="minor"/>
      </rPr>
      <t>b</t>
    </r>
  </si>
  <si>
    <t>Crown</t>
  </si>
  <si>
    <t>Tenure</t>
  </si>
  <si>
    <t>Other native forest</t>
  </si>
  <si>
    <t>Rainforest</t>
  </si>
  <si>
    <t>Melaleuca</t>
  </si>
  <si>
    <t>Mangrove</t>
  </si>
  <si>
    <t>Casuarina</t>
  </si>
  <si>
    <t>Callitris</t>
  </si>
  <si>
    <t>Acacia</t>
  </si>
  <si>
    <t>Mallee</t>
  </si>
  <si>
    <t>Low</t>
  </si>
  <si>
    <t>Medium</t>
  </si>
  <si>
    <t>Tall</t>
  </si>
  <si>
    <t>Eucalypt</t>
  </si>
  <si>
    <t>Forest type</t>
  </si>
  <si>
    <t>Aust.</t>
  </si>
  <si>
    <t>ACT</t>
  </si>
  <si>
    <t>NT</t>
  </si>
  <si>
    <t>Tas.</t>
  </si>
  <si>
    <t>WA</t>
  </si>
  <si>
    <t>SA</t>
  </si>
  <si>
    <t>Qld</t>
  </si>
  <si>
    <t>Vic.</t>
  </si>
  <si>
    <t>NSW</t>
  </si>
  <si>
    <t>Units</t>
  </si>
  <si>
    <t/>
  </si>
  <si>
    <t>Overview of the Australian forest industry</t>
  </si>
  <si>
    <t>Plantation area</t>
  </si>
  <si>
    <t xml:space="preserve">Hardwood </t>
  </si>
  <si>
    <t>Softwood</t>
  </si>
  <si>
    <t>Total</t>
  </si>
  <si>
    <t>Plantations established</t>
  </si>
  <si>
    <t>Logs harvested</t>
  </si>
  <si>
    <t>Gross value of log production</t>
  </si>
  <si>
    <t>$m</t>
  </si>
  <si>
    <t>Volume of production</t>
  </si>
  <si>
    <t>Sawnwood</t>
  </si>
  <si>
    <t>Wood-based panels</t>
  </si>
  <si>
    <t>Paper and paperboard</t>
  </si>
  <si>
    <t>kt</t>
  </si>
  <si>
    <t>Apparent consumption</t>
  </si>
  <si>
    <t>’000</t>
  </si>
  <si>
    <t>Housing activity</t>
  </si>
  <si>
    <t>Houses commenced</t>
  </si>
  <si>
    <t>Total dwelling units commenced</t>
  </si>
  <si>
    <t>Imports</t>
  </si>
  <si>
    <t>Exports</t>
  </si>
  <si>
    <t>Plantation areas, by type and state ('000 ha)</t>
  </si>
  <si>
    <t>Hardwood</t>
  </si>
  <si>
    <t>New South Wales</t>
  </si>
  <si>
    <t>Victoria</t>
  </si>
  <si>
    <t>Queensland</t>
  </si>
  <si>
    <t>South Australia</t>
  </si>
  <si>
    <t>Western Australia</t>
  </si>
  <si>
    <t>Tasmania</t>
  </si>
  <si>
    <t>Northern Territory</t>
  </si>
  <si>
    <t>Aust. Capital Territory</t>
  </si>
  <si>
    <t>Australia</t>
  </si>
  <si>
    <t>Native</t>
  </si>
  <si>
    <t>Saw and veneer logs</t>
  </si>
  <si>
    <t>Pulplogs for</t>
  </si>
  <si>
    <t>Woodchips for domestic paper</t>
  </si>
  <si>
    <t>Woodchips for export</t>
  </si>
  <si>
    <t>Other</t>
  </si>
  <si>
    <t>Plantation</t>
  </si>
  <si>
    <t>Plywood and veneer logs</t>
  </si>
  <si>
    <t>Wood panels pulplogs</t>
  </si>
  <si>
    <t>Paper pulplogs</t>
  </si>
  <si>
    <t>Log production</t>
  </si>
  <si>
    <t>Hardwood native</t>
  </si>
  <si>
    <t>Hardwood plantation</t>
  </si>
  <si>
    <t>Pulplogs</t>
  </si>
  <si>
    <t>index</t>
  </si>
  <si>
    <t>Hardwood and softwood</t>
  </si>
  <si>
    <t xml:space="preserve">Total </t>
  </si>
  <si>
    <t>Apparent consumption per person</t>
  </si>
  <si>
    <t>Production annual</t>
  </si>
  <si>
    <t xml:space="preserve">Plywood </t>
  </si>
  <si>
    <t xml:space="preserve">Particleboard </t>
  </si>
  <si>
    <t xml:space="preserve">Medium density fibreboard </t>
  </si>
  <si>
    <t>Newsprint</t>
  </si>
  <si>
    <t>Printing and writing</t>
  </si>
  <si>
    <t>Household and sanitary</t>
  </si>
  <si>
    <t>Packaging and industrial</t>
  </si>
  <si>
    <t>2017 Sep</t>
  </si>
  <si>
    <t>2017 Dec</t>
  </si>
  <si>
    <t>2018 Mar</t>
  </si>
  <si>
    <t>2018 Jun</t>
  </si>
  <si>
    <t>2018 Sep</t>
  </si>
  <si>
    <t>2018 Dec</t>
  </si>
  <si>
    <t>2019 Mar</t>
  </si>
  <si>
    <t>2019 Jun</t>
  </si>
  <si>
    <t>2019 Sep</t>
  </si>
  <si>
    <t>2019 Dec</t>
  </si>
  <si>
    <t>2020 Mar</t>
  </si>
  <si>
    <t>2020 Jun</t>
  </si>
  <si>
    <t>Forestry</t>
  </si>
  <si>
    <t>Forestry and logging</t>
  </si>
  <si>
    <t>Manufacturing</t>
  </si>
  <si>
    <t>Log sawmilling and timber dressing</t>
  </si>
  <si>
    <t>Log sawmilling</t>
  </si>
  <si>
    <t>Wood chipping</t>
  </si>
  <si>
    <t>Timber resawing and dressing</t>
  </si>
  <si>
    <t>Other wood product manufacturing</t>
  </si>
  <si>
    <t>Prefabricated wooden building</t>
  </si>
  <si>
    <t>Wooden structural fittings and components</t>
  </si>
  <si>
    <t>Veneer and plywood</t>
  </si>
  <si>
    <t>Reconstituted wood product</t>
  </si>
  <si>
    <t>Other wood products nec</t>
  </si>
  <si>
    <t>Total wood products</t>
  </si>
  <si>
    <t>Pulp, paper and converted paper products</t>
  </si>
  <si>
    <t>Pulp, paper and paperboard</t>
  </si>
  <si>
    <t>Corrugated paperboard and paperboard container</t>
  </si>
  <si>
    <t>Paper bag</t>
  </si>
  <si>
    <t>Paper stationary</t>
  </si>
  <si>
    <t>Sanitary paper product</t>
  </si>
  <si>
    <t>Other converted paper product</t>
  </si>
  <si>
    <t xml:space="preserve">Total forest product </t>
  </si>
  <si>
    <t>Total manufacturing</t>
  </si>
  <si>
    <t>Forest product industries share of total manufacturing</t>
  </si>
  <si>
    <t>%</t>
  </si>
  <si>
    <t>Paper and paper products</t>
  </si>
  <si>
    <t>Pulp, paper and paper products</t>
  </si>
  <si>
    <t>Forest product manufacturing % of total manufacturing</t>
  </si>
  <si>
    <t>Gross domestic product (GDP)</t>
  </si>
  <si>
    <t>National GDP</t>
  </si>
  <si>
    <t>Forest and forest product industries % of national GDP</t>
  </si>
  <si>
    <t xml:space="preserve">Pulp, paper and converted paper products  </t>
  </si>
  <si>
    <t>paperboard container</t>
  </si>
  <si>
    <t>Forest product industries % of total manufacturing</t>
  </si>
  <si>
    <t>Forestry support services</t>
  </si>
  <si>
    <t>Total agriculture, forestry and fishing</t>
  </si>
  <si>
    <t>% forestry and logging</t>
  </si>
  <si>
    <t>Wood product manufacturing</t>
  </si>
  <si>
    <t>Converted paper products</t>
  </si>
  <si>
    <t>Other pulp, paper and converted paper</t>
  </si>
  <si>
    <t>Total wood, pulp and paper manufacturing</t>
  </si>
  <si>
    <t>Total manufacturing industries</t>
  </si>
  <si>
    <t xml:space="preserve">% wood manufacturing industry </t>
  </si>
  <si>
    <t>Total employment Australia</t>
  </si>
  <si>
    <t>% total forestry, logging and wood manufacturing</t>
  </si>
  <si>
    <t>Selected price indexes - Annual</t>
  </si>
  <si>
    <t>Australian domestic</t>
  </si>
  <si>
    <t>Index</t>
  </si>
  <si>
    <t>Cupboards and built-in furniture</t>
  </si>
  <si>
    <t>Plywood and board</t>
  </si>
  <si>
    <t>Structural timber</t>
  </si>
  <si>
    <t>Timber doors</t>
  </si>
  <si>
    <t>Timber windows</t>
  </si>
  <si>
    <t>Timber, board and joinery</t>
  </si>
  <si>
    <t>Concrete, sand and cement</t>
  </si>
  <si>
    <t>Cement products</t>
  </si>
  <si>
    <t>Clay bricks, tiles, etc.</t>
  </si>
  <si>
    <t>Reinforcing steel</t>
  </si>
  <si>
    <t>All groups</t>
  </si>
  <si>
    <t>Materials used in manufacturing industries</t>
  </si>
  <si>
    <t>All manufacturing index</t>
  </si>
  <si>
    <t>Articles produced by manufacturing industries</t>
  </si>
  <si>
    <t>Paper stationery</t>
  </si>
  <si>
    <t>International</t>
  </si>
  <si>
    <t>Sawlogs softwood</t>
  </si>
  <si>
    <t>Wood fibre hardwood</t>
  </si>
  <si>
    <t>Wood fibre softwood</t>
  </si>
  <si>
    <t>Selected price indexes - Quarterly</t>
  </si>
  <si>
    <t>2020 Sep</t>
  </si>
  <si>
    <t>2020 Dec</t>
  </si>
  <si>
    <t>2021 Mar</t>
  </si>
  <si>
    <t>2021 Jun</t>
  </si>
  <si>
    <t>Global wood fibre</t>
  </si>
  <si>
    <t xml:space="preserve">Softwood </t>
  </si>
  <si>
    <t>Plywood</t>
  </si>
  <si>
    <t>Particleboard</t>
  </si>
  <si>
    <t>Medium density fibreboard</t>
  </si>
  <si>
    <t>Recovered paper</t>
  </si>
  <si>
    <t>Trade</t>
  </si>
  <si>
    <t xml:space="preserve">Exports of recovered paper </t>
  </si>
  <si>
    <t>Imports of recovered paper</t>
  </si>
  <si>
    <t>Net imports</t>
  </si>
  <si>
    <t>Recovered paper used for domestic production of paper and paperboard</t>
  </si>
  <si>
    <t>Domestic production of paper and paperboard</t>
  </si>
  <si>
    <t>Quantity</t>
  </si>
  <si>
    <t>Roundwood</t>
  </si>
  <si>
    <t>Softwood roughsawn</t>
  </si>
  <si>
    <t xml:space="preserve">Softwood dressed </t>
  </si>
  <si>
    <t>Hardwood roughsawn</t>
  </si>
  <si>
    <t xml:space="preserve">Hardwood dressed </t>
  </si>
  <si>
    <t>Veneers</t>
  </si>
  <si>
    <t>Hardboard</t>
  </si>
  <si>
    <t>Softboard and other fibreboards</t>
  </si>
  <si>
    <t>Pulp</t>
  </si>
  <si>
    <t>Value</t>
  </si>
  <si>
    <t>Miscellaneous forest products</t>
  </si>
  <si>
    <t>Softwood dressed</t>
  </si>
  <si>
    <t xml:space="preserve">Hardwood roughsawn </t>
  </si>
  <si>
    <t>Railway sleepers</t>
  </si>
  <si>
    <t>Miscellaneous forest products - oils</t>
  </si>
  <si>
    <t>Tea tree oil</t>
  </si>
  <si>
    <t>t</t>
  </si>
  <si>
    <t>na</t>
  </si>
  <si>
    <t>Data tables Australian forest and wood product statistics datasets</t>
  </si>
  <si>
    <r>
      <t xml:space="preserve">Total </t>
    </r>
    <r>
      <rPr>
        <b/>
        <sz val="9"/>
        <color rgb="FF000000"/>
        <rFont val="Calibri"/>
        <family val="2"/>
      </rPr>
      <t>a</t>
    </r>
  </si>
  <si>
    <r>
      <t xml:space="preserve">Sawnwood </t>
    </r>
    <r>
      <rPr>
        <b/>
        <sz val="9"/>
        <color rgb="FF000000"/>
        <rFont val="Calibri"/>
        <family val="2"/>
      </rPr>
      <t>b</t>
    </r>
  </si>
  <si>
    <r>
      <t xml:space="preserve">Australia </t>
    </r>
    <r>
      <rPr>
        <b/>
        <sz val="9"/>
        <color rgb="FF000000"/>
        <rFont val="Calibri"/>
        <family val="2"/>
      </rPr>
      <t>a</t>
    </r>
  </si>
  <si>
    <r>
      <rPr>
        <sz val="8"/>
        <color rgb="FF000000"/>
        <rFont val="Calibri"/>
        <family val="2"/>
      </rPr>
      <t xml:space="preserve"> </t>
    </r>
    <r>
      <rPr>
        <b/>
        <sz val="8"/>
        <color rgb="FF000000"/>
        <rFont val="Calibri"/>
        <family val="2"/>
      </rPr>
      <t>a</t>
    </r>
    <r>
      <rPr>
        <sz val="8"/>
        <color rgb="FF000000"/>
        <rFont val="Calibri"/>
        <family val="2"/>
      </rPr>
      <t xml:space="preserve"> Totals may not tally due to rounding. </t>
    </r>
    <r>
      <rPr>
        <b/>
        <sz val="8"/>
        <color rgb="FF000000"/>
        <rFont val="Calibri"/>
        <family val="2"/>
      </rPr>
      <t xml:space="preserve">b </t>
    </r>
    <r>
      <rPr>
        <sz val="8"/>
        <color rgb="FF000000"/>
        <rFont val="Calibri"/>
        <family val="2"/>
      </rPr>
      <t>Total includes plantations where type in unknown. 
Note: Plantation area may increase or decrease between reporting years as new plantations are established, some plantation areas are removed which growers and managers deem to be commercially unviable, some plantations are not re-established after harvest and as growers and managers provide revised net planted and fallow areas for their plantation estates. 
Source: Australian plantation statistics update, ABARES, Canberra.</t>
    </r>
  </si>
  <si>
    <r>
      <rPr>
        <b/>
        <sz val="8"/>
        <color rgb="FF000000"/>
        <rFont val="Calibri"/>
        <family val="2"/>
      </rPr>
      <t>a</t>
    </r>
    <r>
      <rPr>
        <sz val="8"/>
        <color rgb="FF000000"/>
        <rFont val="Calibri"/>
        <family val="2"/>
      </rPr>
      <t xml:space="preserve"> New areas planted (excludes replanting).  
Source: Australian plantation statistics update, ABARES, Canberra.</t>
    </r>
  </si>
  <si>
    <r>
      <t xml:space="preserve">Other </t>
    </r>
    <r>
      <rPr>
        <b/>
        <sz val="9"/>
        <color rgb="FF000000"/>
        <rFont val="Calibri"/>
        <family val="2"/>
      </rPr>
      <t>g</t>
    </r>
  </si>
  <si>
    <r>
      <t xml:space="preserve">Paper manufactures </t>
    </r>
    <r>
      <rPr>
        <b/>
        <sz val="9"/>
        <color rgb="FF000000"/>
        <rFont val="Calibri"/>
        <family val="2"/>
      </rPr>
      <t>h</t>
    </r>
  </si>
  <si>
    <r>
      <rPr>
        <b/>
        <sz val="8"/>
        <color theme="1"/>
        <rFont val="Calibri"/>
        <family val="2"/>
        <scheme val="minor"/>
      </rPr>
      <t>a</t>
    </r>
    <r>
      <rPr>
        <sz val="8"/>
        <color theme="1"/>
        <rFont val="Calibri"/>
        <family val="2"/>
        <scheme val="minor"/>
      </rPr>
      <t xml:space="preserve"> Recovered paper includes paperboard.</t>
    </r>
    <r>
      <rPr>
        <b/>
        <sz val="8"/>
        <color theme="1"/>
        <rFont val="Calibri"/>
        <family val="2"/>
        <scheme val="minor"/>
      </rPr>
      <t xml:space="preserve"> b</t>
    </r>
    <r>
      <rPr>
        <sz val="8"/>
        <color theme="1"/>
        <rFont val="Calibri"/>
        <family val="2"/>
        <scheme val="minor"/>
      </rPr>
      <t xml:space="preserve"> Apparent collection calculated as recovered paper used for domestic paper and paperboard production plus exports of recovered paper minus imports of recovered paper. </t>
    </r>
    <r>
      <rPr>
        <b/>
        <sz val="8"/>
        <color theme="1"/>
        <rFont val="Calibri"/>
        <family val="2"/>
        <scheme val="minor"/>
      </rPr>
      <t>c</t>
    </r>
    <r>
      <rPr>
        <sz val="8"/>
        <color theme="1"/>
        <rFont val="Calibri"/>
        <family val="2"/>
        <scheme val="minor"/>
      </rPr>
      <t xml:space="preserve"> Recovered paper used for domestic production of paper and paperboard divided by domestic production of paper and paperboard.
Sources: ABARES; Australian Bureau of Statistics, Information Consultancy Services, 2007, cat. no. 9920.0, Canberra.</t>
    </r>
  </si>
  <si>
    <r>
      <t xml:space="preserve">Utilisation of recovered paper </t>
    </r>
    <r>
      <rPr>
        <b/>
        <sz val="9"/>
        <color rgb="FF000000"/>
        <rFont val="Calibri"/>
        <family val="2"/>
      </rPr>
      <t>c</t>
    </r>
  </si>
  <si>
    <r>
      <t xml:space="preserve">Apparent collection of recovered paper </t>
    </r>
    <r>
      <rPr>
        <b/>
        <sz val="9"/>
        <color rgb="FF000000"/>
        <rFont val="Calibri"/>
        <family val="2"/>
      </rPr>
      <t>b</t>
    </r>
  </si>
  <si>
    <r>
      <t xml:space="preserve">Recovered paper </t>
    </r>
    <r>
      <rPr>
        <b/>
        <sz val="8"/>
        <color rgb="FF000000"/>
        <rFont val="Calibri"/>
        <family val="2"/>
      </rPr>
      <t>a</t>
    </r>
  </si>
  <si>
    <r>
      <t xml:space="preserve">Dwelling units commenced - Quarterly ('000) </t>
    </r>
    <r>
      <rPr>
        <b/>
        <sz val="9"/>
        <color rgb="FF000000"/>
        <rFont val="Calibri"/>
        <family val="2"/>
      </rPr>
      <t>a</t>
    </r>
  </si>
  <si>
    <r>
      <t xml:space="preserve">Other residential commencements </t>
    </r>
    <r>
      <rPr>
        <b/>
        <sz val="9"/>
        <color rgb="FF000000"/>
        <rFont val="Calibri"/>
        <family val="2"/>
      </rPr>
      <t>b</t>
    </r>
  </si>
  <si>
    <r>
      <t xml:space="preserve">Total dwelling units commenced </t>
    </r>
    <r>
      <rPr>
        <b/>
        <sz val="9"/>
        <color rgb="FF000000"/>
        <rFont val="Calibri"/>
        <family val="2"/>
      </rPr>
      <t>c</t>
    </r>
  </si>
  <si>
    <t>New houses commenced</t>
  </si>
  <si>
    <r>
      <t xml:space="preserve">Dwelling units commenced - Annual ('000) </t>
    </r>
    <r>
      <rPr>
        <b/>
        <sz val="9"/>
        <color rgb="FF000000"/>
        <rFont val="Calibri"/>
        <family val="2"/>
      </rPr>
      <t>a</t>
    </r>
  </si>
  <si>
    <r>
      <rPr>
        <b/>
        <sz val="8"/>
        <color rgb="FF000000"/>
        <rFont val="Calibri"/>
        <family val="2"/>
      </rPr>
      <t>a</t>
    </r>
    <r>
      <rPr>
        <sz val="8"/>
        <color rgb="FF000000"/>
        <rFont val="Calibri"/>
        <family val="2"/>
      </rPr>
      <t xml:space="preserve"> Original series data. </t>
    </r>
    <r>
      <rPr>
        <b/>
        <sz val="8"/>
        <color rgb="FF000000"/>
        <rFont val="Calibri"/>
        <family val="2"/>
      </rPr>
      <t>b</t>
    </r>
    <r>
      <rPr>
        <sz val="8"/>
        <color rgb="FF000000"/>
        <rFont val="Calibri"/>
        <family val="2"/>
      </rPr>
      <t xml:space="preserve"> Other residential commencements calculated as total dwelling units commenced minus new houses commenced. </t>
    </r>
    <r>
      <rPr>
        <b/>
        <sz val="8"/>
        <color rgb="FF000000"/>
        <rFont val="Calibri"/>
        <family val="2"/>
      </rPr>
      <t>c</t>
    </r>
    <r>
      <rPr>
        <sz val="8"/>
        <color rgb="FF000000"/>
        <rFont val="Calibri"/>
        <family val="2"/>
      </rPr>
      <t xml:space="preserve"> Includes new houses, new other residential buildings, alterations and additions and building conversion. 
Source: Australian Bureau of Statistics, Building Activity, Australia, cat. no. 8752.0, Canberra</t>
    </r>
  </si>
  <si>
    <r>
      <t xml:space="preserve">Total </t>
    </r>
    <r>
      <rPr>
        <b/>
        <sz val="9"/>
        <color rgb="FF000000"/>
        <rFont val="Calibri"/>
        <family val="2"/>
      </rPr>
      <t>c</t>
    </r>
  </si>
  <si>
    <r>
      <t xml:space="preserve">Apparent consumption - Annual </t>
    </r>
    <r>
      <rPr>
        <b/>
        <sz val="9"/>
        <color rgb="FF000000"/>
        <rFont val="Calibri"/>
        <family val="2"/>
      </rPr>
      <t>a</t>
    </r>
  </si>
  <si>
    <r>
      <t xml:space="preserve">Paper and paperboard </t>
    </r>
    <r>
      <rPr>
        <b/>
        <sz val="9"/>
        <color rgb="FF000000"/>
        <rFont val="Calibri"/>
        <family val="2"/>
      </rPr>
      <t>d</t>
    </r>
  </si>
  <si>
    <r>
      <t xml:space="preserve">Sawnwood and LVL </t>
    </r>
    <r>
      <rPr>
        <b/>
        <sz val="9"/>
        <color rgb="FF000000"/>
        <rFont val="Calibri"/>
        <family val="2"/>
      </rPr>
      <t>a</t>
    </r>
  </si>
  <si>
    <r>
      <t xml:space="preserve">Softwood - structural (MGP 10) </t>
    </r>
    <r>
      <rPr>
        <b/>
        <sz val="9"/>
        <color rgb="FF000000"/>
        <rFont val="Calibri"/>
        <family val="2"/>
      </rPr>
      <t>e</t>
    </r>
  </si>
  <si>
    <r>
      <t xml:space="preserve">Engineered wood products - LVL </t>
    </r>
    <r>
      <rPr>
        <b/>
        <sz val="9"/>
        <color rgb="FF000000"/>
        <rFont val="Calibri"/>
        <family val="2"/>
      </rPr>
      <t>f</t>
    </r>
  </si>
  <si>
    <r>
      <t xml:space="preserve">Producer price indexes </t>
    </r>
    <r>
      <rPr>
        <b/>
        <sz val="9"/>
        <color rgb="FF000000"/>
        <rFont val="Calibri"/>
        <family val="2"/>
      </rPr>
      <t>g</t>
    </r>
  </si>
  <si>
    <r>
      <t xml:space="preserve">Materials used in house building </t>
    </r>
    <r>
      <rPr>
        <b/>
        <sz val="10"/>
        <color rgb="FF000000"/>
        <rFont val="Calibri"/>
        <family val="2"/>
      </rPr>
      <t>h</t>
    </r>
  </si>
  <si>
    <r>
      <t xml:space="preserve">Materials used in house building </t>
    </r>
    <r>
      <rPr>
        <b/>
        <sz val="9"/>
        <color rgb="FF000000"/>
        <rFont val="Calibri"/>
        <family val="2"/>
      </rPr>
      <t>h</t>
    </r>
  </si>
  <si>
    <r>
      <t xml:space="preserve">Materials used in manufacturing industries </t>
    </r>
    <r>
      <rPr>
        <b/>
        <sz val="9"/>
        <color rgb="FF000000"/>
        <rFont val="Calibri"/>
        <family val="2"/>
      </rPr>
      <t>g</t>
    </r>
  </si>
  <si>
    <r>
      <t xml:space="preserve">Articles produced by manufacturing industries </t>
    </r>
    <r>
      <rPr>
        <b/>
        <sz val="9"/>
        <color rgb="FF000000"/>
        <rFont val="Calibri"/>
        <family val="2"/>
      </rPr>
      <t>g</t>
    </r>
  </si>
  <si>
    <r>
      <rPr>
        <sz val="8"/>
        <color rgb="FF000000"/>
        <rFont val="Calibri"/>
        <family val="2"/>
        <scheme val="minor"/>
      </rPr>
      <t xml:space="preserve">Base: 2011–12=100. </t>
    </r>
    <r>
      <rPr>
        <b/>
        <sz val="8"/>
        <color rgb="FF000000"/>
        <rFont val="Calibri"/>
        <family val="2"/>
        <scheme val="minor"/>
      </rPr>
      <t>a</t>
    </r>
    <r>
      <rPr>
        <sz val="8"/>
        <color rgb="FF000000"/>
        <rFont val="Calibri"/>
        <family val="2"/>
        <scheme val="minor"/>
      </rPr>
      <t xml:space="preserve"> Price index derived from sawnwood prices based on delivered price to wholesaler as reported in the </t>
    </r>
    <r>
      <rPr>
        <i/>
        <sz val="8"/>
        <color rgb="FF000000"/>
        <rFont val="Calibri"/>
        <family val="2"/>
        <scheme val="minor"/>
      </rPr>
      <t xml:space="preserve">Timber Market Survey </t>
    </r>
    <r>
      <rPr>
        <sz val="8"/>
        <color rgb="FF000000"/>
        <rFont val="Calibri"/>
        <family val="2"/>
        <scheme val="minor"/>
      </rPr>
      <t xml:space="preserve">report. </t>
    </r>
    <r>
      <rPr>
        <b/>
        <sz val="8"/>
        <color rgb="FF000000"/>
        <rFont val="Calibri"/>
        <family val="2"/>
        <scheme val="minor"/>
      </rPr>
      <t>b</t>
    </r>
    <r>
      <rPr>
        <sz val="8"/>
        <color rgb="FF000000"/>
        <rFont val="Calibri"/>
        <family val="2"/>
        <scheme val="minor"/>
      </rPr>
      <t xml:space="preserve"> Biannual survey. </t>
    </r>
    <r>
      <rPr>
        <b/>
        <sz val="8"/>
        <color rgb="FF000000"/>
        <rFont val="Calibri"/>
        <family val="2"/>
        <scheme val="minor"/>
      </rPr>
      <t>c</t>
    </r>
    <r>
      <rPr>
        <sz val="8"/>
        <color rgb="FF000000"/>
        <rFont val="Calibri"/>
        <family val="2"/>
        <scheme val="minor"/>
      </rPr>
      <t xml:space="preserve"> New South Wales Blackbutt low feature grade. </t>
    </r>
    <r>
      <rPr>
        <b/>
        <sz val="8"/>
        <color rgb="FF000000"/>
        <rFont val="Calibri"/>
        <family val="2"/>
        <scheme val="minor"/>
      </rPr>
      <t>d</t>
    </r>
    <r>
      <rPr>
        <sz val="8"/>
        <color rgb="FF000000"/>
        <rFont val="Calibri"/>
        <family val="2"/>
        <scheme val="minor"/>
      </rPr>
      <t xml:space="preserve"> New South Wales mixed Australian hardwood. </t>
    </r>
    <r>
      <rPr>
        <b/>
        <sz val="8"/>
        <color rgb="FF000000"/>
        <rFont val="Calibri"/>
        <family val="2"/>
        <scheme val="minor"/>
      </rPr>
      <t>e</t>
    </r>
    <r>
      <rPr>
        <sz val="8"/>
        <color rgb="FF000000"/>
        <rFont val="Calibri"/>
        <family val="2"/>
        <scheme val="minor"/>
      </rPr>
      <t xml:space="preserve"> Machine graded pine, weighted average of New South Wales, Queensland and Victoria. </t>
    </r>
    <r>
      <rPr>
        <b/>
        <sz val="8"/>
        <color rgb="FF000000"/>
        <rFont val="Calibri"/>
        <family val="2"/>
        <scheme val="minor"/>
      </rPr>
      <t>f</t>
    </r>
    <r>
      <rPr>
        <sz val="8"/>
        <color rgb="FF000000"/>
        <rFont val="Calibri"/>
        <family val="2"/>
        <scheme val="minor"/>
      </rPr>
      <t xml:space="preserve"> Laminated veneer lumber, 300mm x 45mm</t>
    </r>
    <r>
      <rPr>
        <sz val="8"/>
        <color theme="1"/>
        <rFont val="Calibri"/>
        <family val="2"/>
        <scheme val="minor"/>
      </rPr>
      <t>, weighted average of New South Wales, Queensland and Victoria.</t>
    </r>
    <r>
      <rPr>
        <b/>
        <sz val="8"/>
        <color rgb="FF000000"/>
        <rFont val="Calibri"/>
        <family val="2"/>
        <scheme val="minor"/>
      </rPr>
      <t xml:space="preserve"> g </t>
    </r>
    <r>
      <rPr>
        <sz val="8"/>
        <color rgb="FF000000"/>
        <rFont val="Calibri"/>
        <family val="2"/>
        <scheme val="minor"/>
      </rPr>
      <t xml:space="preserve">Based on ANZSIC 2006 classification. </t>
    </r>
    <r>
      <rPr>
        <b/>
        <sz val="8"/>
        <color rgb="FF000000"/>
        <rFont val="Calibri"/>
        <family val="2"/>
        <scheme val="minor"/>
      </rPr>
      <t>h</t>
    </r>
    <r>
      <rPr>
        <sz val="8"/>
        <color rgb="FF000000"/>
        <rFont val="Calibri"/>
        <family val="2"/>
        <scheme val="minor"/>
      </rPr>
      <t xml:space="preserve"> Weighted average of six state capital cities. </t>
    </r>
    <r>
      <rPr>
        <b/>
        <sz val="8"/>
        <color rgb="FF000000"/>
        <rFont val="Calibri"/>
        <family val="2"/>
        <scheme val="minor"/>
      </rPr>
      <t>na</t>
    </r>
    <r>
      <rPr>
        <sz val="8"/>
        <color rgb="FF000000"/>
        <rFont val="Calibri"/>
        <family val="2"/>
        <scheme val="minor"/>
      </rPr>
      <t xml:space="preserve"> Data not available.</t>
    </r>
    <r>
      <rPr>
        <sz val="8"/>
        <color theme="1"/>
        <rFont val="Calibri"/>
        <family val="2"/>
        <scheme val="minor"/>
      </rPr>
      <t xml:space="preserve">
Sources: Australian Bureau of Statistics, </t>
    </r>
    <r>
      <rPr>
        <i/>
        <sz val="8"/>
        <color theme="1"/>
        <rFont val="Calibri"/>
        <family val="2"/>
        <scheme val="minor"/>
      </rPr>
      <t>Producer Price Index,</t>
    </r>
    <r>
      <rPr>
        <sz val="8"/>
        <color theme="1"/>
        <rFont val="Calibri"/>
        <family val="2"/>
        <scheme val="minor"/>
      </rPr>
      <t xml:space="preserve"> cat. no. 6427.0, Canberra; Indufor, </t>
    </r>
    <r>
      <rPr>
        <i/>
        <sz val="8"/>
        <color theme="1"/>
        <rFont val="Calibri"/>
        <family val="2"/>
        <scheme val="minor"/>
      </rPr>
      <t>Timber Market Survey</t>
    </r>
    <r>
      <rPr>
        <sz val="8"/>
        <color theme="1"/>
        <rFont val="Calibri"/>
        <family val="2"/>
        <scheme val="minor"/>
      </rPr>
      <t xml:space="preserve"> (various years), Sydney; Wood Resources International, </t>
    </r>
    <r>
      <rPr>
        <i/>
        <sz val="8"/>
        <color theme="1"/>
        <rFont val="Calibri"/>
        <family val="2"/>
        <scheme val="minor"/>
      </rPr>
      <t>Wood Resource Quarterly,</t>
    </r>
    <r>
      <rPr>
        <sz val="8"/>
        <color theme="1"/>
        <rFont val="Calibri"/>
        <family val="2"/>
        <scheme val="minor"/>
      </rPr>
      <t xml:space="preserve"> Seattle, USA</t>
    </r>
  </si>
  <si>
    <r>
      <t xml:space="preserve">Base: 2011–12=100. </t>
    </r>
    <r>
      <rPr>
        <b/>
        <sz val="8"/>
        <color theme="1"/>
        <rFont val="Calibri"/>
        <family val="2"/>
        <scheme val="minor"/>
      </rPr>
      <t>a</t>
    </r>
    <r>
      <rPr>
        <sz val="8"/>
        <color theme="1"/>
        <rFont val="Calibri"/>
        <family val="2"/>
        <scheme val="minor"/>
      </rPr>
      <t xml:space="preserve"> Price index derived from sawnwood prices based on delivered price to wholesaler as reported in the Timber Market Survey report. </t>
    </r>
    <r>
      <rPr>
        <b/>
        <sz val="8"/>
        <color theme="1"/>
        <rFont val="Calibri"/>
        <family val="2"/>
        <scheme val="minor"/>
      </rPr>
      <t>b</t>
    </r>
    <r>
      <rPr>
        <sz val="8"/>
        <color theme="1"/>
        <rFont val="Calibri"/>
        <family val="2"/>
        <scheme val="minor"/>
      </rPr>
      <t xml:space="preserve"> Biannual survey. </t>
    </r>
    <r>
      <rPr>
        <b/>
        <sz val="8"/>
        <color theme="1"/>
        <rFont val="Calibri"/>
        <family val="2"/>
        <scheme val="minor"/>
      </rPr>
      <t>c</t>
    </r>
    <r>
      <rPr>
        <sz val="8"/>
        <color theme="1"/>
        <rFont val="Calibri"/>
        <family val="2"/>
        <scheme val="minor"/>
      </rPr>
      <t xml:space="preserve"> New South Wales Blackbutt low feature grade. </t>
    </r>
    <r>
      <rPr>
        <b/>
        <sz val="8"/>
        <color theme="1"/>
        <rFont val="Calibri"/>
        <family val="2"/>
        <scheme val="minor"/>
      </rPr>
      <t>d</t>
    </r>
    <r>
      <rPr>
        <sz val="8"/>
        <color theme="1"/>
        <rFont val="Calibri"/>
        <family val="2"/>
        <scheme val="minor"/>
      </rPr>
      <t xml:space="preserve"> New South Wales mixed Australian hardwood. </t>
    </r>
    <r>
      <rPr>
        <b/>
        <sz val="8"/>
        <color theme="1"/>
        <rFont val="Calibri"/>
        <family val="2"/>
        <scheme val="minor"/>
      </rPr>
      <t>e</t>
    </r>
    <r>
      <rPr>
        <sz val="8"/>
        <color theme="1"/>
        <rFont val="Calibri"/>
        <family val="2"/>
        <scheme val="minor"/>
      </rPr>
      <t xml:space="preserve"> Machine graded pine, weighted average of New South Wales, Queensland and Victoria. </t>
    </r>
    <r>
      <rPr>
        <b/>
        <sz val="8"/>
        <color theme="1"/>
        <rFont val="Calibri"/>
        <family val="2"/>
        <scheme val="minor"/>
      </rPr>
      <t>f</t>
    </r>
    <r>
      <rPr>
        <sz val="8"/>
        <color theme="1"/>
        <rFont val="Calibri"/>
        <family val="2"/>
        <scheme val="minor"/>
      </rPr>
      <t xml:space="preserve"> Laminated veneer lumber, 300mm x 45mm, weighted average of New South Wales, Queensland and Victoria. </t>
    </r>
    <r>
      <rPr>
        <b/>
        <sz val="8"/>
        <color theme="1"/>
        <rFont val="Calibri"/>
        <family val="2"/>
        <scheme val="minor"/>
      </rPr>
      <t>g</t>
    </r>
    <r>
      <rPr>
        <sz val="8"/>
        <color theme="1"/>
        <rFont val="Calibri"/>
        <family val="2"/>
        <scheme val="minor"/>
      </rPr>
      <t xml:space="preserve"> Based on ANZSIC 2006 classification. </t>
    </r>
    <r>
      <rPr>
        <b/>
        <sz val="8"/>
        <color theme="1"/>
        <rFont val="Calibri"/>
        <family val="2"/>
        <scheme val="minor"/>
      </rPr>
      <t>h</t>
    </r>
    <r>
      <rPr>
        <sz val="8"/>
        <color theme="1"/>
        <rFont val="Calibri"/>
        <family val="2"/>
        <scheme val="minor"/>
      </rPr>
      <t xml:space="preserve"> Weighted average of six state capital cities. 
Sources: Australian Bureau of Statistics, Producer Price Index, cat. no. 6427.0, Canberra; Indufor, Timber Market Survey (various years), Sydney; Wood Resources International, Wood Resource Quarterly, Seattle, USA.</t>
    </r>
  </si>
  <si>
    <t>Forestry and Logging</t>
  </si>
  <si>
    <t>Forestry Support Services</t>
  </si>
  <si>
    <t>Wood Product Manufacturing</t>
  </si>
  <si>
    <t>Pulp and Paper Product Manufacturing</t>
  </si>
  <si>
    <t>No.</t>
  </si>
  <si>
    <r>
      <t xml:space="preserve">Total </t>
    </r>
    <r>
      <rPr>
        <b/>
        <sz val="9"/>
        <rFont val="Calibri"/>
        <family val="2"/>
        <scheme val="minor"/>
      </rPr>
      <t>c</t>
    </r>
  </si>
  <si>
    <t>Forestry sector employment b</t>
  </si>
  <si>
    <t>Total employed workforce d</t>
  </si>
  <si>
    <t>Forestry sector employment dependence e</t>
  </si>
  <si>
    <r>
      <t xml:space="preserve">Log sawmilling and timber dressing </t>
    </r>
    <r>
      <rPr>
        <b/>
        <sz val="9"/>
        <color rgb="FF000000"/>
        <rFont val="Calibri"/>
        <family val="2"/>
      </rPr>
      <t>c</t>
    </r>
  </si>
  <si>
    <r>
      <t xml:space="preserve">Other wood product manufacturing </t>
    </r>
    <r>
      <rPr>
        <b/>
        <sz val="9"/>
        <color rgb="FF000000"/>
        <rFont val="Calibri"/>
        <family val="2"/>
      </rPr>
      <t>d</t>
    </r>
  </si>
  <si>
    <r>
      <t xml:space="preserve">Wages and salaries in forest product industries </t>
    </r>
    <r>
      <rPr>
        <b/>
        <sz val="9"/>
        <color rgb="FF000000"/>
        <rFont val="Calibri"/>
        <family val="2"/>
      </rPr>
      <t>a</t>
    </r>
  </si>
  <si>
    <r>
      <rPr>
        <b/>
        <sz val="8"/>
        <color rgb="FF000000"/>
        <rFont val="Calibri"/>
        <family val="2"/>
      </rPr>
      <t>a</t>
    </r>
    <r>
      <rPr>
        <sz val="8"/>
        <color rgb="FF000000"/>
        <rFont val="Calibri"/>
        <family val="2"/>
      </rPr>
      <t xml:space="preserve"> Original series data. Based on pay as you earn (PAYE) employment statistics excluding volunteers. </t>
    </r>
    <r>
      <rPr>
        <b/>
        <sz val="8"/>
        <color rgb="FF000000"/>
        <rFont val="Calibri"/>
        <family val="2"/>
      </rPr>
      <t>b</t>
    </r>
    <r>
      <rPr>
        <sz val="8"/>
        <color rgb="FF000000"/>
        <rFont val="Calibri"/>
        <family val="2"/>
      </rPr>
      <t xml:space="preserve"> Excludes forestry support services, which are included in the category total agriculture, forestry and fishing support services. </t>
    </r>
    <r>
      <rPr>
        <b/>
        <sz val="8"/>
        <color rgb="FF000000"/>
        <rFont val="Calibri"/>
        <family val="2"/>
      </rPr>
      <t>c</t>
    </r>
    <r>
      <rPr>
        <sz val="8"/>
        <color rgb="FF000000"/>
        <rFont val="Calibri"/>
        <family val="2"/>
      </rPr>
      <t xml:space="preserve"> Excludes forestry and logging. </t>
    </r>
    <r>
      <rPr>
        <b/>
        <sz val="8"/>
        <color rgb="FF000000"/>
        <rFont val="Calibri"/>
        <family val="2"/>
      </rPr>
      <t>na</t>
    </r>
    <r>
      <rPr>
        <sz val="8"/>
        <color rgb="FF000000"/>
        <rFont val="Calibri"/>
        <family val="2"/>
      </rPr>
      <t xml:space="preserve"> Data not available.
Note: Wages and salaries data should be used with caution due to high relative standard errors.  
Source: Australian Bureau of Statistics, Australian Industry, cat. no. 8155.0, Canberra.</t>
    </r>
  </si>
  <si>
    <r>
      <t xml:space="preserve">Total wood and paper products manufacturing </t>
    </r>
    <r>
      <rPr>
        <b/>
        <sz val="8"/>
        <color rgb="FF000000"/>
        <rFont val="Calibri"/>
        <family val="2"/>
      </rPr>
      <t>c</t>
    </r>
  </si>
  <si>
    <t>Total forestry and forest product manufacturing industries</t>
  </si>
  <si>
    <r>
      <t xml:space="preserve">Industry value added in forest product industries </t>
    </r>
    <r>
      <rPr>
        <b/>
        <sz val="8"/>
        <color rgb="FF000000"/>
        <rFont val="Calibri"/>
        <family val="2"/>
      </rPr>
      <t>a</t>
    </r>
  </si>
  <si>
    <r>
      <t xml:space="preserve">Forestry </t>
    </r>
    <r>
      <rPr>
        <b/>
        <sz val="8"/>
        <color rgb="FF000000"/>
        <rFont val="Calibri"/>
        <family val="2"/>
      </rPr>
      <t>b</t>
    </r>
  </si>
  <si>
    <r>
      <rPr>
        <b/>
        <sz val="8"/>
        <color rgb="FF000000"/>
        <rFont val="Calibri"/>
        <family val="2"/>
      </rPr>
      <t>a</t>
    </r>
    <r>
      <rPr>
        <sz val="8"/>
        <color rgb="FF000000"/>
        <rFont val="Calibri"/>
        <family val="2"/>
      </rPr>
      <t xml:space="preserve"> Original series nominal data. Industry value added represents the value added by an industry to the intermediate inputs used by the industry. It is the measure of the contribution by manufacturing businesses to gross domestic product. As a measure of economic activity it is not equivalent to operating profit before tax. Industry-specific value added data from the Australian Industry survey may differ from value added estimates provided in other ABS publications such as the National Accounts for a number of reasons, including the absence of "cultivated biological resources" in the Australian Industry estimates. </t>
    </r>
    <r>
      <rPr>
        <b/>
        <sz val="8"/>
        <color rgb="FF000000"/>
        <rFont val="Calibri"/>
        <family val="2"/>
      </rPr>
      <t>b</t>
    </r>
    <r>
      <rPr>
        <sz val="8"/>
        <color rgb="FF000000"/>
        <rFont val="Calibri"/>
        <family val="2"/>
      </rPr>
      <t xml:space="preserve"> Excludes forestry support services which are included in the category total agriculture, forestry and fishing support services.  </t>
    </r>
    <r>
      <rPr>
        <b/>
        <sz val="8"/>
        <color rgb="FF000000"/>
        <rFont val="Calibri"/>
        <family val="2"/>
      </rPr>
      <t xml:space="preserve">c </t>
    </r>
    <r>
      <rPr>
        <sz val="8"/>
        <color rgb="FF000000"/>
        <rFont val="Calibri"/>
        <family val="2"/>
      </rPr>
      <t>Excluding forestry and logging. 
Notes: Industry value added should be used with caution due to high relative standard errors.  Data for industry sub-divisions (such as 'log sawmilling and timber dressing') between 2007–08 to 2009–10 is sourced from ABS cat. no. 8159.0 whereas data for the total industry value added is sourced from ABS cat. no. 8155.0. These two data sources are not directly comparable and the components do not sum to the totals for those years. 
Sources: Australian Bureau of Statistics, Australian National Accounts: National Income, Expenditure and Product, cat. no. 5206.0, Canberra; Australian Bureau of Statistics, Australian Industry, cat. no. 8155.0, Canberra.</t>
    </r>
  </si>
  <si>
    <r>
      <t xml:space="preserve">Sales and service income in forest product industries - by state ($m) </t>
    </r>
    <r>
      <rPr>
        <b/>
        <sz val="8"/>
        <color rgb="FF000000"/>
        <rFont val="Calibri"/>
        <family val="2"/>
      </rPr>
      <t>a</t>
    </r>
  </si>
  <si>
    <r>
      <rPr>
        <b/>
        <sz val="8"/>
        <color theme="1"/>
        <rFont val="Calibri"/>
        <family val="2"/>
        <scheme val="minor"/>
      </rPr>
      <t>a</t>
    </r>
    <r>
      <rPr>
        <sz val="8"/>
        <color theme="1"/>
        <rFont val="Calibri"/>
        <family val="2"/>
        <scheme val="minor"/>
      </rPr>
      <t xml:space="preserve"> Original series data. Sales and service income is defined as follows: sales of goods whether or not manufactured by the business, exclusive of goods and services tax (GST). See Australian Bureau of Statistics publication Explanatory Notes for full details. </t>
    </r>
    <r>
      <rPr>
        <b/>
        <sz val="8"/>
        <color theme="1"/>
        <rFont val="Calibri"/>
        <family val="2"/>
        <scheme val="minor"/>
      </rPr>
      <t>na</t>
    </r>
    <r>
      <rPr>
        <sz val="8"/>
        <color theme="1"/>
        <rFont val="Calibri"/>
        <family val="2"/>
        <scheme val="minor"/>
      </rPr>
      <t xml:space="preserve"> Data not available 
Notes: Sales and service income should be used with caution due to high relative standard errors.
Source: Australian Bureau of Statistics, Australian Industry, cat. no. 8155.0, Canberra.</t>
    </r>
  </si>
  <si>
    <r>
      <t xml:space="preserve">Sales and service income in forest product industries - by manufacturing type </t>
    </r>
    <r>
      <rPr>
        <b/>
        <sz val="8"/>
        <color rgb="FF000000"/>
        <rFont val="Calibri"/>
        <family val="2"/>
      </rPr>
      <t>a</t>
    </r>
  </si>
  <si>
    <r>
      <rPr>
        <b/>
        <sz val="8"/>
        <color rgb="FF000000"/>
        <rFont val="Calibri"/>
        <family val="2"/>
      </rPr>
      <t>a</t>
    </r>
    <r>
      <rPr>
        <sz val="8"/>
        <color rgb="FF000000"/>
        <rFont val="Calibri"/>
        <family val="2"/>
      </rPr>
      <t xml:space="preserve"> Original series data. Sales and service income is defined as follows: sales of goods whether or not manufactured by the business, exclusive of goods and services tax (GST). See Australian Bureau of Statistics publication Explanatory Notes for full details. </t>
    </r>
    <r>
      <rPr>
        <b/>
        <sz val="8"/>
        <color rgb="FF000000"/>
        <rFont val="Calibri"/>
        <family val="2"/>
      </rPr>
      <t>b</t>
    </r>
    <r>
      <rPr>
        <sz val="8"/>
        <color rgb="FF000000"/>
        <rFont val="Calibri"/>
        <family val="2"/>
      </rPr>
      <t xml:space="preserve">  Excludes forestry support services which are included in the category total agriculture, forestry and fishing support services. </t>
    </r>
    <r>
      <rPr>
        <b/>
        <sz val="8"/>
        <color rgb="FF000000"/>
        <rFont val="Calibri"/>
        <family val="2"/>
      </rPr>
      <t>c</t>
    </r>
    <r>
      <rPr>
        <sz val="8"/>
        <color rgb="FF000000"/>
        <rFont val="Calibri"/>
        <family val="2"/>
      </rPr>
      <t xml:space="preserve"> Total may not tally exactly due to Australian Bureau of Statistics updates of total only. 
Notes: Sales and service income should be used with caution due to high relative standard errors.
Source: Australian Bureau of Statistics, Australian Industry, cat. no. 8155.0, Canberra.</t>
    </r>
  </si>
  <si>
    <r>
      <t xml:space="preserve">Sawnwood production, by state (’000  m3) </t>
    </r>
    <r>
      <rPr>
        <b/>
        <sz val="8"/>
        <color rgb="FF000000"/>
        <rFont val="Calibri"/>
        <family val="2"/>
      </rPr>
      <t>a</t>
    </r>
  </si>
  <si>
    <r>
      <t xml:space="preserve">New South Wales </t>
    </r>
    <r>
      <rPr>
        <b/>
        <sz val="8"/>
        <color rgb="FF000000"/>
        <rFont val="Calibri"/>
        <family val="2"/>
      </rPr>
      <t>b</t>
    </r>
  </si>
  <si>
    <r>
      <t xml:space="preserve">Softwood </t>
    </r>
    <r>
      <rPr>
        <b/>
        <sz val="8"/>
        <color rgb="FF000000"/>
        <rFont val="Calibri"/>
        <family val="2"/>
      </rPr>
      <t>b</t>
    </r>
  </si>
  <si>
    <r>
      <t xml:space="preserve">Estimated Gross roundwood equivalent of consumption, by wood product </t>
    </r>
    <r>
      <rPr>
        <b/>
        <sz val="8"/>
        <color rgb="FF000000"/>
        <rFont val="Calibri"/>
        <family val="2"/>
      </rPr>
      <t>a</t>
    </r>
  </si>
  <si>
    <t>’000 m³</t>
  </si>
  <si>
    <t>m³/pp</t>
  </si>
  <si>
    <r>
      <t xml:space="preserve">Log price indexes, by log type </t>
    </r>
    <r>
      <rPr>
        <b/>
        <sz val="8"/>
        <color rgb="FF000000"/>
        <rFont val="Calibri"/>
        <family val="2"/>
      </rPr>
      <t>a</t>
    </r>
  </si>
  <si>
    <r>
      <t xml:space="preserve">Softwood </t>
    </r>
    <r>
      <rPr>
        <b/>
        <sz val="10"/>
        <color rgb="FF000000"/>
        <rFont val="Calibri"/>
        <family val="2"/>
      </rPr>
      <t>c</t>
    </r>
  </si>
  <si>
    <r>
      <t xml:space="preserve">Western Australia </t>
    </r>
    <r>
      <rPr>
        <b/>
        <sz val="8"/>
        <color rgb="FF000000"/>
        <rFont val="Calibri"/>
        <family val="2"/>
      </rPr>
      <t>e</t>
    </r>
  </si>
  <si>
    <r>
      <t xml:space="preserve">Saw and veneer logs </t>
    </r>
    <r>
      <rPr>
        <b/>
        <sz val="8"/>
        <color rgb="FF000000"/>
        <rFont val="Calibri"/>
        <family val="2"/>
      </rPr>
      <t>c</t>
    </r>
  </si>
  <si>
    <r>
      <t xml:space="preserve">Value of logs harvested, by state </t>
    </r>
    <r>
      <rPr>
        <b/>
        <sz val="8"/>
        <color rgb="FF000000"/>
        <rFont val="Calibri"/>
        <family val="2"/>
      </rPr>
      <t>a</t>
    </r>
  </si>
  <si>
    <r>
      <t xml:space="preserve">Volume of logs harvested, by state </t>
    </r>
    <r>
      <rPr>
        <b/>
        <sz val="8"/>
        <color rgb="FF000000"/>
        <rFont val="Calibri"/>
        <family val="2"/>
      </rPr>
      <t>a</t>
    </r>
  </si>
  <si>
    <r>
      <t xml:space="preserve">Gross value of logs harvested - by category </t>
    </r>
    <r>
      <rPr>
        <b/>
        <sz val="8"/>
        <color rgb="FF000000"/>
        <rFont val="Calibri"/>
        <family val="2"/>
      </rPr>
      <t>a</t>
    </r>
  </si>
  <si>
    <r>
      <t xml:space="preserve">Logs harvested, by log type (’000  m3) </t>
    </r>
    <r>
      <rPr>
        <b/>
        <sz val="8"/>
        <color rgb="FF000000"/>
        <rFont val="Calibri"/>
        <family val="2"/>
      </rPr>
      <t>a</t>
    </r>
  </si>
  <si>
    <r>
      <t xml:space="preserve">Plantation establishment, by type and state ('000 ha) </t>
    </r>
    <r>
      <rPr>
        <b/>
        <sz val="8"/>
        <color rgb="FF000000"/>
        <rFont val="Calibri"/>
        <family val="2"/>
      </rPr>
      <t>a</t>
    </r>
  </si>
  <si>
    <r>
      <t xml:space="preserve">Total (incl. unallocated) </t>
    </r>
    <r>
      <rPr>
        <b/>
        <sz val="8"/>
        <color rgb="FF000000"/>
        <rFont val="Calibri"/>
        <family val="2"/>
      </rPr>
      <t>b</t>
    </r>
  </si>
  <si>
    <t>2006–07</t>
  </si>
  <si>
    <t>2007–08</t>
  </si>
  <si>
    <t>2008–09</t>
  </si>
  <si>
    <t>2009–10</t>
  </si>
  <si>
    <t>2010–11</t>
  </si>
  <si>
    <t>2011–12</t>
  </si>
  <si>
    <t>2012–13</t>
  </si>
  <si>
    <t>2013–14</t>
  </si>
  <si>
    <t>2014–15</t>
  </si>
  <si>
    <t>2015–16</t>
  </si>
  <si>
    <t>2016–17</t>
  </si>
  <si>
    <t>2017–18</t>
  </si>
  <si>
    <t>2018–19</t>
  </si>
  <si>
    <t>2019–20</t>
  </si>
  <si>
    <t>2020–21</t>
  </si>
  <si>
    <t>2001–02</t>
  </si>
  <si>
    <t>2002–03</t>
  </si>
  <si>
    <t>2003–04</t>
  </si>
  <si>
    <t>2004–05</t>
  </si>
  <si>
    <t>2005–06</t>
  </si>
  <si>
    <t>2021 Sep</t>
  </si>
  <si>
    <t>2021 Dec</t>
  </si>
  <si>
    <r>
      <t xml:space="preserve">Total </t>
    </r>
    <r>
      <rPr>
        <b/>
        <sz val="9"/>
        <color rgb="FF000000"/>
        <rFont val="Calibri"/>
        <family val="2"/>
      </rPr>
      <t>d</t>
    </r>
  </si>
  <si>
    <t>$b</t>
  </si>
  <si>
    <t>2021–22</t>
  </si>
  <si>
    <t>2022 Jun</t>
  </si>
  <si>
    <t>2022 Sep</t>
  </si>
  <si>
    <t>2022 Mar</t>
  </si>
  <si>
    <r>
      <t xml:space="preserve">Direct employment, 2021 census - State/Territory and National scale </t>
    </r>
    <r>
      <rPr>
        <b/>
        <sz val="9"/>
        <color rgb="FF000000"/>
        <rFont val="Calibri"/>
        <family val="2"/>
      </rPr>
      <t>a</t>
    </r>
  </si>
  <si>
    <r>
      <rPr>
        <b/>
        <sz val="8"/>
        <rFont val="Calibri"/>
        <family val="2"/>
        <scheme val="minor"/>
      </rPr>
      <t xml:space="preserve">a </t>
    </r>
    <r>
      <rPr>
        <sz val="8"/>
        <rFont val="Calibri"/>
        <family val="2"/>
        <scheme val="minor"/>
      </rPr>
      <t xml:space="preserve">Includes full-time and part-time workers. </t>
    </r>
    <r>
      <rPr>
        <b/>
        <sz val="8"/>
        <rFont val="Calibri"/>
        <family val="2"/>
        <scheme val="minor"/>
      </rPr>
      <t>b</t>
    </r>
    <r>
      <rPr>
        <sz val="8"/>
        <rFont val="Calibri"/>
        <family val="2"/>
        <scheme val="minor"/>
      </rPr>
      <t xml:space="preserve"> Forestry sector employment is the sum of persons in Industry of Employment (IND06P) categories  of the Australian New Zealand Standard Industrial Classification 2006 (ANZSIC06).  </t>
    </r>
    <r>
      <rPr>
        <b/>
        <sz val="8"/>
        <rFont val="Calibri"/>
        <family val="2"/>
        <scheme val="minor"/>
      </rPr>
      <t>c</t>
    </r>
    <r>
      <rPr>
        <sz val="8"/>
        <rFont val="Calibri"/>
        <family val="2"/>
        <scheme val="minor"/>
      </rPr>
      <t xml:space="preserve"> Total employment may differ to the sum of individual states or employment categories, because the ABS randomly adjusts some small values published in the Census of Population and Housing to avoid release of confidential data. Some employment may be excluded by the ABS because of a lack of available data. </t>
    </r>
    <r>
      <rPr>
        <b/>
        <sz val="8"/>
        <rFont val="Calibri"/>
        <family val="2"/>
        <scheme val="minor"/>
      </rPr>
      <t xml:space="preserve">d </t>
    </r>
    <r>
      <rPr>
        <sz val="8"/>
        <rFont val="Calibri"/>
        <family val="2"/>
        <scheme val="minor"/>
      </rPr>
      <t xml:space="preserve">Total employed workforce is the sum of persons in all Industry of Employment (IND06P) categories, other than 'not applicable' (e.g. not working), 'not stated' and 'inadequately described', ANZSIC06. </t>
    </r>
    <r>
      <rPr>
        <b/>
        <sz val="8"/>
        <rFont val="Calibri"/>
        <family val="2"/>
        <scheme val="minor"/>
      </rPr>
      <t xml:space="preserve">e </t>
    </r>
    <r>
      <rPr>
        <sz val="8"/>
        <rFont val="Calibri"/>
        <family val="2"/>
        <scheme val="minor"/>
      </rPr>
      <t xml:space="preserve">Forestry sector employment dependence is the percentage of the total employed workforce working in forestry sector industry categories. f 'Other Territories' covers persons with no usual address and in offshore/migratory areas.
</t>
    </r>
    <r>
      <rPr>
        <i/>
        <sz val="8"/>
        <rFont val="Calibri"/>
        <family val="2"/>
        <scheme val="minor"/>
      </rPr>
      <t>Source:</t>
    </r>
    <r>
      <rPr>
        <sz val="8"/>
        <rFont val="Calibri"/>
        <family val="2"/>
        <scheme val="minor"/>
      </rPr>
      <t xml:space="preserve"> Australian Bureau of Statistics (ABS) 2021 Census of Population and Housing. Counting Persons Place of Usual Residence.</t>
    </r>
  </si>
  <si>
    <t>2022 Dec</t>
  </si>
  <si>
    <t>2023 Mar</t>
  </si>
  <si>
    <t>2022–23</t>
  </si>
  <si>
    <t>2023 Jun</t>
  </si>
  <si>
    <t>Total forestry, wood, pulp and paper manufacturing</t>
  </si>
  <si>
    <t>2023 Sep</t>
  </si>
  <si>
    <t>Sawnwood c</t>
  </si>
  <si>
    <t>Paper manufactures e</t>
  </si>
  <si>
    <t>Pulp f</t>
  </si>
  <si>
    <t>Woodchips g</t>
  </si>
  <si>
    <r>
      <t xml:space="preserve">Pulp </t>
    </r>
    <r>
      <rPr>
        <b/>
        <sz val="9"/>
        <color rgb="FF000000"/>
        <rFont val="Calibri"/>
        <family val="2"/>
      </rPr>
      <t>f</t>
    </r>
  </si>
  <si>
    <r>
      <t xml:space="preserve">Eucalyptus oil </t>
    </r>
    <r>
      <rPr>
        <b/>
        <sz val="9"/>
        <color rgb="FF000000"/>
        <rFont val="Calibri"/>
        <family val="2"/>
      </rPr>
      <t>d</t>
    </r>
  </si>
  <si>
    <r>
      <t xml:space="preserve">Softwood roughsawn </t>
    </r>
    <r>
      <rPr>
        <b/>
        <sz val="9"/>
        <color rgb="FF000000"/>
        <rFont val="Calibri"/>
        <family val="2"/>
      </rPr>
      <t>c</t>
    </r>
  </si>
  <si>
    <t>Medium density fibreboard i</t>
  </si>
  <si>
    <t>Native forest areas, by forest type, ownership and state, 2021</t>
  </si>
  <si>
    <t>2022-23</t>
  </si>
  <si>
    <t>2023 Dec</t>
  </si>
  <si>
    <t>2023–24</t>
  </si>
  <si>
    <t>2024 Mar</t>
  </si>
  <si>
    <t>2024 Jun</t>
  </si>
  <si>
    <t>2023-24</t>
  </si>
  <si>
    <t>Cypress pine logs</t>
  </si>
  <si>
    <t>Total softwood native and plantation</t>
  </si>
  <si>
    <r>
      <t xml:space="preserve">Softwood sawlogs </t>
    </r>
    <r>
      <rPr>
        <b/>
        <sz val="7"/>
        <color indexed="8"/>
        <rFont val="Calibri"/>
        <family val="2"/>
        <scheme val="minor"/>
      </rPr>
      <t>b</t>
    </r>
  </si>
  <si>
    <t>Native cypress pine sawlogs</t>
  </si>
  <si>
    <t>Export woodchip softwood pulplogs</t>
  </si>
  <si>
    <t>2024 Sep</t>
  </si>
  <si>
    <t>2024 Dec</t>
  </si>
  <si>
    <t>Wood–based panels</t>
  </si>
  <si>
    <t>Engineered Wood Products</t>
  </si>
  <si>
    <t>LVL</t>
  </si>
  <si>
    <t>CLT or X-lam</t>
  </si>
  <si>
    <t>GLT</t>
  </si>
  <si>
    <t>I beams</t>
  </si>
  <si>
    <t>EWP other</t>
  </si>
  <si>
    <r>
      <t>’000 m</t>
    </r>
    <r>
      <rPr>
        <vertAlign val="superscript"/>
        <sz val="8"/>
        <color indexed="8"/>
        <rFont val="Calibri"/>
        <family val="2"/>
        <scheme val="minor"/>
      </rPr>
      <t>3</t>
    </r>
  </si>
  <si>
    <t>CLT or XLAM</t>
  </si>
  <si>
    <t>I-Beams</t>
  </si>
  <si>
    <t>Sawnwood a</t>
  </si>
  <si>
    <r>
      <t xml:space="preserve">Wood-based panels </t>
    </r>
    <r>
      <rPr>
        <b/>
        <sz val="8"/>
        <color rgb="FF000000"/>
        <rFont val="Calibri"/>
        <family val="2"/>
      </rPr>
      <t>c</t>
    </r>
    <r>
      <rPr>
        <b/>
        <sz val="10"/>
        <color rgb="FF000000"/>
        <rFont val="Calibri"/>
        <family val="2"/>
      </rPr>
      <t xml:space="preserve"> d</t>
    </r>
  </si>
  <si>
    <r>
      <t>Native hardwood</t>
    </r>
    <r>
      <rPr>
        <b/>
        <sz val="9"/>
        <color rgb="FF000000"/>
        <rFont val="Calibri"/>
        <family val="2"/>
      </rPr>
      <t xml:space="preserve"> b</t>
    </r>
  </si>
  <si>
    <r>
      <t>Plantation hardwood</t>
    </r>
    <r>
      <rPr>
        <b/>
        <sz val="9"/>
        <color rgb="FF000000"/>
        <rFont val="Calibri"/>
        <family val="2"/>
      </rPr>
      <t xml:space="preserve"> c</t>
    </r>
  </si>
  <si>
    <r>
      <t>Total hardwood</t>
    </r>
    <r>
      <rPr>
        <b/>
        <sz val="9"/>
        <color rgb="FF000000"/>
        <rFont val="Calibri"/>
        <family val="2"/>
      </rPr>
      <t xml:space="preserve"> b c</t>
    </r>
  </si>
  <si>
    <r>
      <t>Total</t>
    </r>
    <r>
      <rPr>
        <b/>
        <sz val="9"/>
        <color rgb="FF000000"/>
        <rFont val="Calibri"/>
        <family val="2"/>
      </rPr>
      <t xml:space="preserve"> b c</t>
    </r>
  </si>
  <si>
    <r>
      <t>Hardwood</t>
    </r>
    <r>
      <rPr>
        <b/>
        <sz val="9"/>
        <color rgb="FF000000"/>
        <rFont val="Calibri"/>
        <family val="2"/>
      </rPr>
      <t xml:space="preserve"> c</t>
    </r>
  </si>
  <si>
    <r>
      <t xml:space="preserve">Sawnwood </t>
    </r>
    <r>
      <rPr>
        <b/>
        <sz val="9"/>
        <color rgb="FF000000"/>
        <rFont val="Calibri"/>
        <family val="2"/>
      </rPr>
      <t>d</t>
    </r>
  </si>
  <si>
    <r>
      <t xml:space="preserve">Wood-based panels </t>
    </r>
    <r>
      <rPr>
        <b/>
        <sz val="9"/>
        <color rgb="FF000000"/>
        <rFont val="Calibri"/>
        <family val="2"/>
      </rPr>
      <t>e</t>
    </r>
  </si>
  <si>
    <r>
      <t xml:space="preserve">Wood-based panels </t>
    </r>
    <r>
      <rPr>
        <b/>
        <sz val="9"/>
        <color rgb="FF000000"/>
        <rFont val="Calibri"/>
        <family val="2"/>
      </rPr>
      <t>e</t>
    </r>
    <r>
      <rPr>
        <sz val="9"/>
        <color rgb="FF000000"/>
        <rFont val="Calibri"/>
        <family val="2"/>
      </rPr>
      <t xml:space="preserve"> </t>
    </r>
    <r>
      <rPr>
        <b/>
        <sz val="9"/>
        <color rgb="FF000000"/>
        <rFont val="Calibri"/>
        <family val="2"/>
      </rPr>
      <t>f</t>
    </r>
  </si>
  <si>
    <r>
      <t>Sawnwood</t>
    </r>
    <r>
      <rPr>
        <b/>
        <sz val="9"/>
        <color rgb="FF000000"/>
        <rFont val="Calibri"/>
        <family val="2"/>
      </rPr>
      <t xml:space="preserve"> d</t>
    </r>
  </si>
  <si>
    <r>
      <t xml:space="preserve">Wood-based panels </t>
    </r>
    <r>
      <rPr>
        <b/>
        <sz val="9"/>
        <color rgb="FF000000"/>
        <rFont val="Calibri"/>
        <family val="2"/>
      </rPr>
      <t>g</t>
    </r>
  </si>
  <si>
    <t>Employment h i</t>
  </si>
  <si>
    <r>
      <t xml:space="preserve">Total </t>
    </r>
    <r>
      <rPr>
        <b/>
        <sz val="9"/>
        <color rgb="FF000000"/>
        <rFont val="Calibri"/>
        <family val="2"/>
      </rPr>
      <t>j</t>
    </r>
  </si>
  <si>
    <r>
      <t>Total</t>
    </r>
    <r>
      <rPr>
        <b/>
        <sz val="9"/>
        <color rgb="FF000000"/>
        <rFont val="Calibri"/>
        <family val="2"/>
      </rPr>
      <t xml:space="preserve"> j</t>
    </r>
  </si>
  <si>
    <r>
      <t xml:space="preserve">Woodchips </t>
    </r>
    <r>
      <rPr>
        <b/>
        <sz val="9"/>
        <color rgb="FF000000"/>
        <rFont val="Calibri"/>
        <family val="2"/>
      </rPr>
      <t>k</t>
    </r>
  </si>
  <si>
    <r>
      <t xml:space="preserve">Saw and veneer logs </t>
    </r>
    <r>
      <rPr>
        <b/>
        <sz val="9"/>
        <color rgb="FF000000"/>
        <rFont val="Calibri"/>
        <family val="2"/>
        <scheme val="minor"/>
      </rPr>
      <t>c d e</t>
    </r>
  </si>
  <si>
    <r>
      <t xml:space="preserve">Wood-based panels </t>
    </r>
    <r>
      <rPr>
        <b/>
        <sz val="9"/>
        <color rgb="FF000000"/>
        <rFont val="Calibri"/>
        <family val="2"/>
        <scheme val="minor"/>
      </rPr>
      <t>g</t>
    </r>
  </si>
  <si>
    <t>Plantation f</t>
  </si>
  <si>
    <r>
      <t xml:space="preserve">Saw and veneer logs </t>
    </r>
    <r>
      <rPr>
        <b/>
        <sz val="9"/>
        <color rgb="FF000000"/>
        <rFont val="Calibri"/>
        <family val="2"/>
        <scheme val="minor"/>
      </rPr>
      <t>c d</t>
    </r>
  </si>
  <si>
    <r>
      <t xml:space="preserve">Saw and veneer logs  </t>
    </r>
    <r>
      <rPr>
        <b/>
        <sz val="9"/>
        <color rgb="FF000000"/>
        <rFont val="Calibri"/>
        <family val="2"/>
        <scheme val="minor"/>
      </rPr>
      <t>c d e</t>
    </r>
  </si>
  <si>
    <t>Native b</t>
  </si>
  <si>
    <r>
      <t>Total hardwood native and plantation</t>
    </r>
    <r>
      <rPr>
        <b/>
        <sz val="9"/>
        <color rgb="FF000000"/>
        <rFont val="Calibri"/>
        <family val="2"/>
        <scheme val="minor"/>
      </rPr>
      <t xml:space="preserve"> b</t>
    </r>
    <r>
      <rPr>
        <sz val="9"/>
        <color rgb="FF000000"/>
        <rFont val="Calibri"/>
        <family val="2"/>
        <scheme val="minor"/>
      </rPr>
      <t xml:space="preserve"> </t>
    </r>
    <r>
      <rPr>
        <b/>
        <sz val="9"/>
        <color rgb="FF000000"/>
        <rFont val="Calibri"/>
        <family val="2"/>
        <scheme val="minor"/>
      </rPr>
      <t>f</t>
    </r>
  </si>
  <si>
    <t>Hardwood and Softwood b f</t>
  </si>
  <si>
    <r>
      <t>Saw and veneer logs</t>
    </r>
    <r>
      <rPr>
        <b/>
        <sz val="9"/>
        <color rgb="FF000000"/>
        <rFont val="Calibri"/>
        <family val="2"/>
        <scheme val="minor"/>
      </rPr>
      <t xml:space="preserve"> c d</t>
    </r>
  </si>
  <si>
    <r>
      <t xml:space="preserve">Total Australia </t>
    </r>
    <r>
      <rPr>
        <b/>
        <sz val="9"/>
        <color rgb="FF000000"/>
        <rFont val="Calibri"/>
        <family val="2"/>
        <scheme val="minor"/>
      </rPr>
      <t>c d</t>
    </r>
  </si>
  <si>
    <r>
      <t xml:space="preserve">Export woodchip hardwood pulplogs </t>
    </r>
    <r>
      <rPr>
        <b/>
        <sz val="9"/>
        <color rgb="FF000000"/>
        <rFont val="Calibri"/>
        <family val="2"/>
        <scheme val="minor"/>
      </rPr>
      <t>c</t>
    </r>
    <r>
      <rPr>
        <sz val="9"/>
        <color indexed="8"/>
        <rFont val="Calibri"/>
        <family val="2"/>
        <scheme val="minor"/>
      </rPr>
      <t xml:space="preserve"> </t>
    </r>
    <r>
      <rPr>
        <b/>
        <sz val="9"/>
        <color rgb="FF000000"/>
        <rFont val="Calibri"/>
        <family val="2"/>
        <scheme val="minor"/>
      </rPr>
      <t>d</t>
    </r>
  </si>
  <si>
    <r>
      <t xml:space="preserve">Hardwood sawlogs </t>
    </r>
    <r>
      <rPr>
        <b/>
        <sz val="9"/>
        <color rgb="FF000000"/>
        <rFont val="Calibri"/>
        <family val="2"/>
        <scheme val="minor"/>
      </rPr>
      <t>b</t>
    </r>
    <r>
      <rPr>
        <sz val="9"/>
        <color indexed="8"/>
        <rFont val="Calibri"/>
        <family val="2"/>
        <scheme val="minor"/>
      </rPr>
      <t xml:space="preserve"> </t>
    </r>
    <r>
      <rPr>
        <b/>
        <sz val="9"/>
        <color rgb="FF000000"/>
        <rFont val="Calibri"/>
        <family val="2"/>
        <scheme val="minor"/>
      </rPr>
      <t>c</t>
    </r>
    <r>
      <rPr>
        <sz val="9"/>
        <color indexed="8"/>
        <rFont val="Calibri"/>
        <family val="2"/>
        <scheme val="minor"/>
      </rPr>
      <t xml:space="preserve"> </t>
    </r>
    <r>
      <rPr>
        <b/>
        <sz val="9"/>
        <color rgb="FF000000"/>
        <rFont val="Calibri"/>
        <family val="2"/>
        <scheme val="minor"/>
      </rPr>
      <t>d</t>
    </r>
  </si>
  <si>
    <r>
      <t xml:space="preserve">Native </t>
    </r>
    <r>
      <rPr>
        <b/>
        <sz val="9"/>
        <color rgb="FF000000"/>
        <rFont val="Calibri"/>
        <family val="2"/>
        <scheme val="minor"/>
      </rPr>
      <t>c</t>
    </r>
  </si>
  <si>
    <r>
      <t xml:space="preserve">Plantation </t>
    </r>
    <r>
      <rPr>
        <b/>
        <sz val="9"/>
        <color rgb="FF000000"/>
        <rFont val="Calibri"/>
        <family val="2"/>
        <scheme val="minor"/>
      </rPr>
      <t>d</t>
    </r>
  </si>
  <si>
    <r>
      <t xml:space="preserve">Total hardwood </t>
    </r>
    <r>
      <rPr>
        <b/>
        <sz val="9"/>
        <color rgb="FF000000"/>
        <rFont val="Calibri"/>
        <family val="2"/>
        <scheme val="minor"/>
      </rPr>
      <t>c d</t>
    </r>
  </si>
  <si>
    <t>Total softwood e</t>
  </si>
  <si>
    <t>Total Australia c d e</t>
  </si>
  <si>
    <t>Western Australia e</t>
  </si>
  <si>
    <t>Total d</t>
  </si>
  <si>
    <r>
      <t>Softwood</t>
    </r>
    <r>
      <rPr>
        <b/>
        <sz val="9"/>
        <color rgb="FF000000"/>
        <rFont val="Calibri"/>
        <family val="2"/>
      </rPr>
      <t xml:space="preserve"> d</t>
    </r>
  </si>
  <si>
    <r>
      <t>Total</t>
    </r>
    <r>
      <rPr>
        <b/>
        <sz val="9"/>
        <color rgb="FF000000"/>
        <rFont val="Calibri"/>
        <family val="2"/>
      </rPr>
      <t xml:space="preserve"> d</t>
    </r>
  </si>
  <si>
    <r>
      <t xml:space="preserve">Softwood </t>
    </r>
    <r>
      <rPr>
        <b/>
        <sz val="9"/>
        <color rgb="FF000000"/>
        <rFont val="Calibri"/>
        <family val="2"/>
      </rPr>
      <t>d</t>
    </r>
  </si>
  <si>
    <r>
      <t xml:space="preserve">Hardwood native </t>
    </r>
    <r>
      <rPr>
        <b/>
        <sz val="9"/>
        <color rgb="FF000000"/>
        <rFont val="Calibri"/>
        <family val="2"/>
      </rPr>
      <t>c</t>
    </r>
  </si>
  <si>
    <r>
      <t xml:space="preserve">Hardwood plantation </t>
    </r>
    <r>
      <rPr>
        <b/>
        <sz val="9"/>
        <color rgb="FF000000"/>
        <rFont val="Calibri"/>
        <family val="2"/>
      </rPr>
      <t>f</t>
    </r>
  </si>
  <si>
    <t>Hardwood native f</t>
  </si>
  <si>
    <t>Hardwood plantation g</t>
  </si>
  <si>
    <r>
      <t xml:space="preserve">Saw and veneer logs </t>
    </r>
    <r>
      <rPr>
        <b/>
        <sz val="9"/>
        <color rgb="FF000000"/>
        <rFont val="Calibri"/>
        <family val="2"/>
      </rPr>
      <t>c</t>
    </r>
  </si>
  <si>
    <r>
      <t xml:space="preserve">Saw and veneer logs </t>
    </r>
    <r>
      <rPr>
        <b/>
        <sz val="9"/>
        <color rgb="FF000000"/>
        <rFont val="Calibri"/>
        <family val="2"/>
      </rPr>
      <t>e</t>
    </r>
  </si>
  <si>
    <t>Plantation d</t>
  </si>
  <si>
    <t>Hardwood and softwood c d</t>
  </si>
  <si>
    <r>
      <rPr>
        <b/>
        <sz val="8"/>
        <color rgb="FF000000"/>
        <rFont val="Calibri"/>
        <family val="2"/>
      </rPr>
      <t>a</t>
    </r>
    <r>
      <rPr>
        <sz val="8"/>
        <color rgb="FF000000"/>
        <rFont val="Calibri"/>
        <family val="2"/>
      </rPr>
      <t xml:space="preserve"> Gross roundwood equivalent (GRWE) is an estimate of the volume of logs used to produce wood products. ABARES revised the assumed conversion rate of wood products to log equivalents in the November 2012 edition of the AFWPS. These methodological changes have been applied to all historical estimates of logs consumed. Because of the methodological changes, estimates presented in this table are not directly comparable with estimates published in previous editions of the AFWPS. Log consumption estimates are calculated as logs harvested plus estimated log equivalent of imported primary wood products less log equivalent of exported primary wood products. The figures exclude non-log fibre inputs into production, such as recovered paper. Excludes firewood, paper manufactures and secondary wood products (such as furniture). </t>
    </r>
    <r>
      <rPr>
        <b/>
        <sz val="8"/>
        <color rgb="FF000000"/>
        <rFont val="Calibri"/>
        <family val="2"/>
      </rPr>
      <t>b</t>
    </r>
    <r>
      <rPr>
        <sz val="8"/>
        <color rgb="FF000000"/>
        <rFont val="Calibri"/>
        <family val="2"/>
      </rPr>
      <t xml:space="preserve"> Data includes revisions to 2022-23 native hardwood production figures. </t>
    </r>
    <r>
      <rPr>
        <b/>
        <sz val="8"/>
        <color rgb="FF000000"/>
        <rFont val="Calibri"/>
        <family val="2"/>
      </rPr>
      <t>c</t>
    </r>
    <r>
      <rPr>
        <sz val="8"/>
        <color rgb="FF000000"/>
        <rFont val="Calibri"/>
        <family val="2"/>
      </rPr>
      <t xml:space="preserve"> Data includes estimated production values for entities that did not respond to the survey.</t>
    </r>
    <r>
      <rPr>
        <b/>
        <sz val="8"/>
        <color rgb="FF000000"/>
        <rFont val="Calibri"/>
        <family val="2"/>
      </rPr>
      <t xml:space="preserve"> d </t>
    </r>
    <r>
      <rPr>
        <sz val="8"/>
        <color rgb="FF000000"/>
        <rFont val="Calibri"/>
        <family val="2"/>
      </rPr>
      <t xml:space="preserve">Plywood logs included in sawnwood and veneer category. </t>
    </r>
    <r>
      <rPr>
        <b/>
        <sz val="8"/>
        <color rgb="FF000000"/>
        <rFont val="Calibri"/>
        <family val="2"/>
      </rPr>
      <t>e</t>
    </r>
    <r>
      <rPr>
        <sz val="8"/>
        <color rgb="FF000000"/>
        <rFont val="Calibri"/>
        <family val="2"/>
      </rPr>
      <t xml:space="preserve"> Includes hardboard, softboard, particleboard and medium density fibreboard. </t>
    </r>
    <r>
      <rPr>
        <b/>
        <sz val="8"/>
        <color rgb="FF000000"/>
        <rFont val="Calibri"/>
        <family val="2"/>
      </rPr>
      <t>f</t>
    </r>
    <r>
      <rPr>
        <sz val="8"/>
        <color rgb="FF000000"/>
        <rFont val="Calibri"/>
        <family val="2"/>
      </rPr>
      <t xml:space="preserve"> Includes native cypress pine. 
Sources: ABARES; Australian Bureau of Statistics; state and territory forest services; forest industry associations; private industry.</t>
    </r>
  </si>
  <si>
    <t>Hardwood b c</t>
  </si>
  <si>
    <r>
      <t xml:space="preserve">Sawnwood and veneer </t>
    </r>
    <r>
      <rPr>
        <b/>
        <sz val="9"/>
        <color rgb="FF000000"/>
        <rFont val="Calibri"/>
        <family val="2"/>
      </rPr>
      <t>d</t>
    </r>
  </si>
  <si>
    <r>
      <t xml:space="preserve">Sawnwood and veneer </t>
    </r>
    <r>
      <rPr>
        <b/>
        <sz val="9"/>
        <color rgb="FF000000"/>
        <rFont val="Calibri"/>
        <family val="2"/>
      </rPr>
      <t>d f</t>
    </r>
  </si>
  <si>
    <r>
      <t xml:space="preserve">Woodchips </t>
    </r>
    <r>
      <rPr>
        <b/>
        <sz val="9"/>
        <color rgb="FF000000"/>
        <rFont val="Calibri"/>
        <family val="2"/>
      </rPr>
      <t>e f</t>
    </r>
  </si>
  <si>
    <r>
      <t xml:space="preserve">Exports </t>
    </r>
    <r>
      <rPr>
        <b/>
        <sz val="9"/>
        <color rgb="FF000000"/>
        <rFont val="Calibri"/>
        <family val="2"/>
      </rPr>
      <t>a b</t>
    </r>
  </si>
  <si>
    <r>
      <rPr>
        <b/>
        <sz val="8"/>
        <rFont val="Calibri"/>
        <family val="2"/>
        <scheme val="minor"/>
      </rPr>
      <t>a</t>
    </r>
    <r>
      <rPr>
        <sz val="8"/>
        <rFont val="Calibri"/>
        <family val="2"/>
        <scheme val="minor"/>
      </rPr>
      <t xml:space="preserve"> Excludes secondary wood products. </t>
    </r>
    <r>
      <rPr>
        <b/>
        <sz val="8"/>
        <rFont val="Calibri"/>
        <family val="2"/>
        <scheme val="minor"/>
      </rPr>
      <t>b</t>
    </r>
    <r>
      <rPr>
        <sz val="8"/>
        <rFont val="Calibri"/>
        <family val="2"/>
        <scheme val="minor"/>
      </rPr>
      <t xml:space="preserve"> Excludes HS codes which are impacted by ABS confidentiality requirements. </t>
    </r>
    <r>
      <rPr>
        <b/>
        <sz val="8"/>
        <rFont val="Calibri"/>
        <family val="2"/>
        <scheme val="minor"/>
      </rPr>
      <t>c</t>
    </r>
    <r>
      <rPr>
        <sz val="8"/>
        <rFont val="Calibri"/>
        <family val="2"/>
        <scheme val="minor"/>
      </rPr>
      <t xml:space="preserve"> Includes softwood dressed from January 2017.</t>
    </r>
    <r>
      <rPr>
        <b/>
        <sz val="8"/>
        <rFont val="Calibri"/>
        <family val="2"/>
        <scheme val="minor"/>
      </rPr>
      <t xml:space="preserve"> d</t>
    </r>
    <r>
      <rPr>
        <sz val="8"/>
        <rFont val="Calibri"/>
        <family val="2"/>
        <scheme val="minor"/>
      </rPr>
      <t xml:space="preserve"> Includes other essential oils from March 2012. </t>
    </r>
    <r>
      <rPr>
        <b/>
        <sz val="8"/>
        <rFont val="Calibri"/>
        <family val="2"/>
        <scheme val="minor"/>
      </rPr>
      <t>e</t>
    </r>
    <r>
      <rPr>
        <sz val="8"/>
        <rFont val="Calibri"/>
        <family val="2"/>
        <scheme val="minor"/>
      </rPr>
      <t xml:space="preserve"> Bone dry tonnes. </t>
    </r>
    <r>
      <rPr>
        <b/>
        <sz val="8"/>
        <rFont val="Calibri"/>
        <family val="2"/>
        <scheme val="minor"/>
      </rPr>
      <t>f</t>
    </r>
    <r>
      <rPr>
        <sz val="8"/>
        <rFont val="Calibri"/>
        <family val="2"/>
        <scheme val="minor"/>
      </rPr>
      <t xml:space="preserve"> Includes particles. </t>
    </r>
    <r>
      <rPr>
        <b/>
        <sz val="8"/>
        <rFont val="Calibri"/>
        <family val="2"/>
        <scheme val="minor"/>
      </rPr>
      <t>g</t>
    </r>
    <r>
      <rPr>
        <sz val="8"/>
        <rFont val="Calibri"/>
        <family val="2"/>
        <scheme val="minor"/>
      </rPr>
      <t xml:space="preserve"> Includes items such as wooden doors, mouldings, packing cases, parquetry flooring, builders carpentry, cork, gums, resins and other miscellaneous wood articles. Excludes wooden furniture. </t>
    </r>
    <r>
      <rPr>
        <b/>
        <sz val="8"/>
        <rFont val="Calibri"/>
        <family val="2"/>
        <scheme val="minor"/>
      </rPr>
      <t>h</t>
    </r>
    <r>
      <rPr>
        <sz val="8"/>
        <rFont val="Calibri"/>
        <family val="2"/>
        <scheme val="minor"/>
      </rPr>
      <t xml:space="preserve"> Includes other paper articles that have had some further processing. </t>
    </r>
    <r>
      <rPr>
        <b/>
        <sz val="8"/>
        <rFont val="Calibri"/>
        <family val="2"/>
        <scheme val="minor"/>
      </rPr>
      <t xml:space="preserve">i </t>
    </r>
    <r>
      <rPr>
        <sz val="8"/>
        <rFont val="Calibri"/>
        <family val="2"/>
        <scheme val="minor"/>
      </rPr>
      <t>2022-23 quantity is a potential reporting error.
Sources: ABARES; Australian Bureau of Statistics, Information Consultancy Services, 2007, cat. no. 9920.0, Canberra.</t>
    </r>
  </si>
  <si>
    <r>
      <t xml:space="preserve">Imports </t>
    </r>
    <r>
      <rPr>
        <b/>
        <sz val="9"/>
        <color rgb="FF000000"/>
        <rFont val="Calibri"/>
        <family val="2"/>
      </rPr>
      <t>a b</t>
    </r>
  </si>
  <si>
    <t>Woodchips d g</t>
  </si>
  <si>
    <r>
      <t>a</t>
    </r>
    <r>
      <rPr>
        <sz val="8"/>
        <rFont val="Calibri"/>
        <family val="2"/>
        <scheme val="minor"/>
      </rPr>
      <t xml:space="preserve"> Excludes secondary wood products.</t>
    </r>
    <r>
      <rPr>
        <b/>
        <sz val="8"/>
        <rFont val="Calibri"/>
        <family val="2"/>
        <scheme val="minor"/>
      </rPr>
      <t xml:space="preserve"> b </t>
    </r>
    <r>
      <rPr>
        <sz val="8"/>
        <rFont val="Calibri"/>
        <family val="2"/>
        <scheme val="minor"/>
      </rPr>
      <t>Excludes HS codes which are impacted by ABS confidentiality requirements.</t>
    </r>
    <r>
      <rPr>
        <b/>
        <sz val="8"/>
        <rFont val="Calibri"/>
        <family val="2"/>
        <scheme val="minor"/>
      </rPr>
      <t xml:space="preserve"> c</t>
    </r>
    <r>
      <rPr>
        <sz val="8"/>
        <rFont val="Calibri"/>
        <family val="2"/>
        <scheme val="minor"/>
      </rPr>
      <t xml:space="preserve"> Excludes railway sleepers. </t>
    </r>
    <r>
      <rPr>
        <b/>
        <sz val="8"/>
        <rFont val="Calibri"/>
        <family val="2"/>
        <scheme val="minor"/>
      </rPr>
      <t>d</t>
    </r>
    <r>
      <rPr>
        <sz val="8"/>
        <rFont val="Calibri"/>
        <family val="2"/>
        <scheme val="minor"/>
      </rPr>
      <t xml:space="preserve"> Bone dry tonnes. </t>
    </r>
    <r>
      <rPr>
        <b/>
        <sz val="8"/>
        <rFont val="Calibri"/>
        <family val="2"/>
        <scheme val="minor"/>
      </rPr>
      <t>e</t>
    </r>
    <r>
      <rPr>
        <sz val="8"/>
        <rFont val="Calibri"/>
        <family val="2"/>
        <scheme val="minor"/>
      </rPr>
      <t xml:space="preserve"> Includes other paper articles that have had some further processing. </t>
    </r>
    <r>
      <rPr>
        <b/>
        <sz val="8"/>
        <rFont val="Calibri"/>
        <family val="2"/>
        <scheme val="minor"/>
      </rPr>
      <t>f</t>
    </r>
    <r>
      <rPr>
        <sz val="8"/>
        <rFont val="Calibri"/>
        <family val="2"/>
        <scheme val="minor"/>
      </rPr>
      <t xml:space="preserve"> Includes pulp sourced from recovered paper. </t>
    </r>
    <r>
      <rPr>
        <b/>
        <sz val="8"/>
        <rFont val="Calibri"/>
        <family val="2"/>
        <scheme val="minor"/>
      </rPr>
      <t>g</t>
    </r>
    <r>
      <rPr>
        <sz val="8"/>
        <rFont val="Calibri"/>
        <family val="2"/>
        <scheme val="minor"/>
      </rPr>
      <t xml:space="preserve"> Includes particles.</t>
    </r>
    <r>
      <rPr>
        <i/>
        <sz val="8"/>
        <rFont val="Calibri"/>
        <family val="2"/>
        <scheme val="minor"/>
      </rPr>
      <t xml:space="preserve">
</t>
    </r>
    <r>
      <rPr>
        <sz val="8"/>
        <rFont val="Calibri"/>
        <family val="2"/>
        <scheme val="minor"/>
      </rPr>
      <t xml:space="preserve">Sources: ABARES; Australian Bureau of Statistics, </t>
    </r>
    <r>
      <rPr>
        <i/>
        <sz val="8"/>
        <rFont val="Calibri"/>
        <family val="2"/>
        <scheme val="minor"/>
      </rPr>
      <t>Information Consultancy Services, 2007,</t>
    </r>
    <r>
      <rPr>
        <sz val="8"/>
        <rFont val="Calibri"/>
        <family val="2"/>
        <scheme val="minor"/>
      </rPr>
      <t xml:space="preserve"> cat. no. 9920.0, Canberra.</t>
    </r>
  </si>
  <si>
    <r>
      <rPr>
        <b/>
        <sz val="8"/>
        <color rgb="FF000000"/>
        <rFont val="Calibri"/>
        <family val="2"/>
      </rPr>
      <t>a</t>
    </r>
    <r>
      <rPr>
        <sz val="8"/>
        <color rgb="FF000000"/>
        <rFont val="Calibri"/>
        <family val="2"/>
      </rPr>
      <t xml:space="preserve"> Original series data. </t>
    </r>
    <r>
      <rPr>
        <b/>
        <sz val="8"/>
        <color rgb="FF000000"/>
        <rFont val="Calibri"/>
        <family val="2"/>
      </rPr>
      <t>b</t>
    </r>
    <r>
      <rPr>
        <sz val="8"/>
        <color rgb="FF000000"/>
        <rFont val="Calibri"/>
        <family val="2"/>
      </rPr>
      <t xml:space="preserve"> Other residential commencements calculated as total dwelling units commenced minus new houses commenced. </t>
    </r>
    <r>
      <rPr>
        <b/>
        <sz val="8"/>
        <color rgb="FF000000"/>
        <rFont val="Calibri"/>
        <family val="2"/>
      </rPr>
      <t>c</t>
    </r>
    <r>
      <rPr>
        <sz val="8"/>
        <color rgb="FF000000"/>
        <rFont val="Calibri"/>
        <family val="2"/>
      </rPr>
      <t xml:space="preserve"> Includes new houses, new other residential buildings, alterations and additions and building conversion. 
Source: Australian Bureau of Statistics, Building Activity, Australia, cat. no. 8752.0, Canberra.</t>
    </r>
  </si>
  <si>
    <r>
      <rPr>
        <b/>
        <sz val="8"/>
        <color rgb="FF000000"/>
        <rFont val="Calibri"/>
        <family val="2"/>
      </rPr>
      <t>a</t>
    </r>
    <r>
      <rPr>
        <sz val="8"/>
        <color rgb="FF000000"/>
        <rFont val="Calibri"/>
        <family val="2"/>
      </rPr>
      <t xml:space="preserve"> Apparent consumption calculated as domestic production plus imports minus exports. </t>
    </r>
    <r>
      <rPr>
        <b/>
        <sz val="8"/>
        <color rgb="FF000000"/>
        <rFont val="Calibri"/>
        <family val="2"/>
      </rPr>
      <t>b</t>
    </r>
    <r>
      <rPr>
        <sz val="8"/>
        <color rgb="FF000000"/>
        <rFont val="Calibri"/>
        <family val="2"/>
      </rPr>
      <t xml:space="preserve"> Sawnwood (hardwood and softwood)  -  Sawnwood production estimates based on sawmill survey reports (Burns, Sledge and Wicks (2009), Burns and Burke (2012), Gavran et al. (2014), Downham, Gavran and Frakes (2019), and Wong et al. (2024)) and volume of sawlogs harvested. Care should be taken when interpreting trends from previous years. </t>
    </r>
    <r>
      <rPr>
        <b/>
        <sz val="8"/>
        <color rgb="FF000000"/>
        <rFont val="Calibri"/>
        <family val="2"/>
      </rPr>
      <t>c</t>
    </r>
    <r>
      <rPr>
        <sz val="8"/>
        <color rgb="FF000000"/>
        <rFont val="Calibri"/>
        <family val="2"/>
      </rPr>
      <t xml:space="preserve"> Excludes hardboard, softboard, veneer and laminated veneer lumber consumption. ABARES estimates at least 95 per cent of veneer production is currently exported for plywood production. From 2018 March quarter, particleboard and medium density fibreboard data not available due to confidentiality. </t>
    </r>
    <r>
      <rPr>
        <b/>
        <sz val="8"/>
        <color rgb="FF000000"/>
        <rFont val="Calibri"/>
        <family val="2"/>
      </rPr>
      <t>d</t>
    </r>
    <r>
      <rPr>
        <sz val="8"/>
        <color rgb="FF000000"/>
        <rFont val="Calibri"/>
        <family val="2"/>
      </rPr>
      <t xml:space="preserve"> Production and trade in raw paper and paperboard; excludes imports and exports of paper and paperboard in the form of packaging from traded items and printed material (traded books and other printed material). </t>
    </r>
    <r>
      <rPr>
        <b/>
        <sz val="8"/>
        <color rgb="FF000000"/>
        <rFont val="Calibri"/>
        <family val="2"/>
      </rPr>
      <t>na</t>
    </r>
    <r>
      <rPr>
        <sz val="8"/>
        <color rgb="FF000000"/>
        <rFont val="Calibri"/>
        <family val="2"/>
      </rPr>
      <t>. Data not available.
Sources: ABARES; state and territory forest services; forest industry associations; private industry; Australian Bureau of Statistics, Canberra</t>
    </r>
  </si>
  <si>
    <r>
      <t xml:space="preserve">Hardwood - flooring (BBT) </t>
    </r>
    <r>
      <rPr>
        <b/>
        <sz val="9"/>
        <color rgb="FF000000"/>
        <rFont val="Calibri"/>
        <family val="2"/>
      </rPr>
      <t>b c</t>
    </r>
  </si>
  <si>
    <r>
      <t xml:space="preserve">Hardwood - structural (F27 MAH) </t>
    </r>
    <r>
      <rPr>
        <b/>
        <sz val="9"/>
        <color rgb="FF000000"/>
        <rFont val="Calibri"/>
        <family val="2"/>
      </rPr>
      <t>b d</t>
    </r>
  </si>
  <si>
    <t>Other Territories f</t>
  </si>
  <si>
    <r>
      <rPr>
        <b/>
        <sz val="8"/>
        <color rgb="FF000000"/>
        <rFont val="Calibri"/>
        <family val="2"/>
        <scheme val="minor"/>
      </rPr>
      <t>a</t>
    </r>
    <r>
      <rPr>
        <sz val="8"/>
        <color rgb="FF000000"/>
        <rFont val="Calibri"/>
        <family val="2"/>
        <scheme val="minor"/>
      </rPr>
      <t xml:space="preserve"> In March 2018, the ABS implemented an improved trend estimation method that applied to all historical data. In November 2018 , the ABS revised the Labour Force Survey data series from July 2011 to November 2018 to align with final benchmarks of estimated resident population from the 2016 Census. These changes mean that the estimates presented here are not directly comparable with estimates published in previous editions of the AFWPS. </t>
    </r>
    <r>
      <rPr>
        <b/>
        <sz val="8"/>
        <color rgb="FF000000"/>
        <rFont val="Calibri"/>
        <family val="2"/>
        <scheme val="minor"/>
      </rPr>
      <t>b</t>
    </r>
    <r>
      <rPr>
        <sz val="8"/>
        <color rgb="FF000000"/>
        <rFont val="Calibri"/>
        <family val="2"/>
        <scheme val="minor"/>
      </rPr>
      <t xml:space="preserve"> Average employment over four quarters, original series. ANZSIC 2006. </t>
    </r>
    <r>
      <rPr>
        <b/>
        <sz val="8"/>
        <color rgb="FF000000"/>
        <rFont val="Calibri"/>
        <family val="2"/>
        <scheme val="minor"/>
      </rPr>
      <t>c</t>
    </r>
    <r>
      <rPr>
        <sz val="8"/>
        <color rgb="FF000000"/>
        <rFont val="Calibri"/>
        <family val="2"/>
        <scheme val="minor"/>
      </rPr>
      <t xml:space="preserve"> Comprises log sawmilling; wood chipping; and timber resawing and dressing. </t>
    </r>
    <r>
      <rPr>
        <b/>
        <sz val="8"/>
        <color rgb="FF000000"/>
        <rFont val="Calibri"/>
        <family val="2"/>
        <scheme val="minor"/>
      </rPr>
      <t>d</t>
    </r>
    <r>
      <rPr>
        <sz val="8"/>
        <color rgb="FF000000"/>
        <rFont val="Calibri"/>
        <family val="2"/>
        <scheme val="minor"/>
      </rPr>
      <t xml:space="preserve"> Comprises prefabricated wooden building manufacturing; wooden structural fitting and component manufacturing; veneer and plywood manufacturing; reconstituted wood product manufacturing; and other wood product manufacturing not elsewhere classified.
Note: The Labour Force Survey produces the most authoritative and recent estimates of labour market information and is designed specifically to measure changes over time in the Australian labour force. ABS advises caution using employment statistics at the ANZSIC subdivision and group levels because estimates may be subject to sampling variability and standard errors too high for most practical purposes. Refer to original data source (below) for further specific qualifications. The ABS 5-yearly Census of Population and Housing covers the entire population and provides more accurate and comprehensive employment data than surveys, and provides data at smaller geographic scales. 
Sources: Australian Bureau of Statistics, </t>
    </r>
    <r>
      <rPr>
        <i/>
        <sz val="8"/>
        <color rgb="FF000000"/>
        <rFont val="Calibri"/>
        <family val="2"/>
        <scheme val="minor"/>
      </rPr>
      <t>Labour Force, Australia, Detailed, Quarterly - Electronic Delivery,</t>
    </r>
    <r>
      <rPr>
        <sz val="8"/>
        <color rgb="FF000000"/>
        <rFont val="Calibri"/>
        <family val="2"/>
        <scheme val="minor"/>
      </rPr>
      <t xml:space="preserve"> cat. no. 6291.0.55.003, Canberra; </t>
    </r>
    <r>
      <rPr>
        <i/>
        <sz val="8"/>
        <color rgb="FF000000"/>
        <rFont val="Calibri"/>
        <family val="2"/>
        <scheme val="minor"/>
      </rPr>
      <t>Census of Population and Housing: Understanding the Census and Census Data, Australia, 2016</t>
    </r>
    <r>
      <rPr>
        <sz val="8"/>
        <color rgb="FF000000"/>
        <rFont val="Calibri"/>
        <family val="2"/>
        <scheme val="minor"/>
      </rPr>
      <t>, cat. no. 2900.0, Canberra.</t>
    </r>
  </si>
  <si>
    <r>
      <t xml:space="preserve">Employment in forest product industries (Labour Force survey) </t>
    </r>
    <r>
      <rPr>
        <b/>
        <sz val="9"/>
        <color rgb="FF000000"/>
        <rFont val="Calibri"/>
        <family val="2"/>
      </rPr>
      <t>a b</t>
    </r>
  </si>
  <si>
    <r>
      <rPr>
        <b/>
        <sz val="8"/>
        <color rgb="FF000000"/>
        <rFont val="Calibri"/>
        <family val="2"/>
      </rPr>
      <t>a</t>
    </r>
    <r>
      <rPr>
        <sz val="8"/>
        <color rgb="FF000000"/>
        <rFont val="Calibri"/>
        <family val="2"/>
      </rPr>
      <t xml:space="preserve"> Sawnwood production data taken from ABARES mill survey reports (Burns, Sledge and Wicks (2009), Burns and Burke (2012), Gavran et al. (2014), Downham, Gavran and Frakes (2019), and Wong et al. (2024)). Data for 2010–11, 2012–13 and 2016–17 production is based on survey results, while other years are interpolated using state-based mill recovery rates and ABARES estimates of sawlogs harvested. Care should be taken when interpreting trends from previous years. </t>
    </r>
    <r>
      <rPr>
        <b/>
        <sz val="8"/>
        <color rgb="FF000000"/>
        <rFont val="Calibri"/>
        <family val="2"/>
      </rPr>
      <t>b</t>
    </r>
    <r>
      <rPr>
        <sz val="8"/>
        <color rgb="FF000000"/>
        <rFont val="Calibri"/>
        <family val="2"/>
      </rPr>
      <t xml:space="preserve"> From 2007–08 includes ACT. </t>
    </r>
    <r>
      <rPr>
        <b/>
        <sz val="8"/>
        <color rgb="FF000000"/>
        <rFont val="Calibri"/>
        <family val="2"/>
      </rPr>
      <t>c</t>
    </r>
    <r>
      <rPr>
        <sz val="8"/>
        <color rgb="FF000000"/>
        <rFont val="Calibri"/>
        <family val="2"/>
      </rPr>
      <t xml:space="preserve"> Includes native cypress pine. </t>
    </r>
    <r>
      <rPr>
        <b/>
        <sz val="8"/>
        <color rgb="FF000000"/>
        <rFont val="Calibri"/>
        <family val="2"/>
      </rPr>
      <t>d</t>
    </r>
    <r>
      <rPr>
        <sz val="8"/>
        <color rgb="FF000000"/>
        <rFont val="Calibri"/>
        <family val="2"/>
      </rPr>
      <t xml:space="preserve"> For 2010–11, 2012–13, 2016–17, 2019-20 and 2020-21 softwood sawnwood production data has been combined for New South Wales/Queensland/Australian Capital Territory and Victoria/South Australia for commercial confidentiality. 
Sources: ABARES; state and territory forest services; forest industry associations; private industry.</t>
    </r>
  </si>
  <si>
    <r>
      <t xml:space="preserve">Softwood </t>
    </r>
    <r>
      <rPr>
        <b/>
        <sz val="8"/>
        <color rgb="FF000000"/>
        <rFont val="Calibri"/>
        <family val="2"/>
      </rPr>
      <t>c d</t>
    </r>
  </si>
  <si>
    <r>
      <rPr>
        <b/>
        <sz val="8"/>
        <color rgb="FF000000"/>
        <rFont val="Calibri"/>
        <family val="2"/>
      </rPr>
      <t>a</t>
    </r>
    <r>
      <rPr>
        <sz val="8"/>
        <color rgb="FF000000"/>
        <rFont val="Calibri"/>
        <family val="2"/>
      </rPr>
      <t xml:space="preserve"> Sawnwood production data taken from ABARES mill survey reports (Burns, Sledge and Wicks (2009), Burns and Burke (2012), Gavran et al. (2014), Downham, Gavran and Frakes (2019), and Wong et al. (2024)), using mill recovery rates and ABARES estimates of sawlogs harvested. Care should be taken when interpreting trends from previous years. </t>
    </r>
    <r>
      <rPr>
        <b/>
        <sz val="8"/>
        <color rgb="FF000000"/>
        <rFont val="Calibri"/>
        <family val="2"/>
      </rPr>
      <t>b</t>
    </r>
    <r>
      <rPr>
        <sz val="8"/>
        <color rgb="FF000000"/>
        <rFont val="Calibri"/>
        <family val="2"/>
      </rPr>
      <t xml:space="preserve"> Includes native cypress pine. </t>
    </r>
    <r>
      <rPr>
        <b/>
        <sz val="8"/>
        <color rgb="FF000000"/>
        <rFont val="Calibri"/>
        <family val="2"/>
      </rPr>
      <t>c</t>
    </r>
    <r>
      <rPr>
        <sz val="8"/>
        <color rgb="FF000000"/>
        <rFont val="Calibri"/>
        <family val="2"/>
      </rPr>
      <t xml:space="preserve"> Excludes hardboard, softboard, veneers and laminated veneer lumber production. </t>
    </r>
    <r>
      <rPr>
        <b/>
        <sz val="8"/>
        <color rgb="FF000000"/>
        <rFont val="Calibri"/>
        <family val="2"/>
      </rPr>
      <t>d</t>
    </r>
    <r>
      <rPr>
        <sz val="8"/>
        <color rgb="FF000000"/>
        <rFont val="Calibri"/>
        <family val="2"/>
      </rPr>
      <t xml:space="preserve"> Wood-based panels data for 2021-22 is an estimate based on the ABARES National Wood Processing Survey. </t>
    </r>
    <r>
      <rPr>
        <b/>
        <sz val="8"/>
        <color rgb="FF000000"/>
        <rFont val="Calibri"/>
        <family val="2"/>
      </rPr>
      <t>na</t>
    </r>
    <r>
      <rPr>
        <sz val="8"/>
        <color rgb="FF000000"/>
        <rFont val="Calibri"/>
        <family val="2"/>
      </rPr>
      <t xml:space="preserve"> Data not available.
Sources: ABARES, state and territory forest services; forest industry associations, private industry.</t>
    </r>
  </si>
  <si>
    <r>
      <t>a</t>
    </r>
    <r>
      <rPr>
        <sz val="8"/>
        <color rgb="FF000000"/>
        <rFont val="Calibri"/>
        <family val="2"/>
        <scheme val="minor"/>
      </rPr>
      <t xml:space="preserve"> Index of nominal prices paid per cubic metre at milldoor. Base year 1999–00=100. Excludes other log types such as posts, poles, fencing and firewood removals. </t>
    </r>
    <r>
      <rPr>
        <b/>
        <sz val="8"/>
        <color rgb="FF000000"/>
        <rFont val="Calibri"/>
        <family val="2"/>
        <scheme val="minor"/>
      </rPr>
      <t xml:space="preserve">b </t>
    </r>
    <r>
      <rPr>
        <sz val="8"/>
        <color rgb="FF000000"/>
        <rFont val="Calibri"/>
        <family val="2"/>
        <scheme val="minor"/>
      </rPr>
      <t>Data includes revisions to 2022-23 native hardwood production figures.</t>
    </r>
    <r>
      <rPr>
        <b/>
        <sz val="8"/>
        <color rgb="FF000000"/>
        <rFont val="Calibri"/>
        <family val="2"/>
        <scheme val="minor"/>
      </rPr>
      <t xml:space="preserve"> c</t>
    </r>
    <r>
      <rPr>
        <sz val="8"/>
        <color rgb="FF000000"/>
        <rFont val="Calibri"/>
        <family val="2"/>
        <scheme val="minor"/>
      </rPr>
      <t xml:space="preserve"> Includes peeler logs. </t>
    </r>
    <r>
      <rPr>
        <b/>
        <sz val="8"/>
        <color rgb="FF000000"/>
        <rFont val="Calibri"/>
        <family val="2"/>
        <scheme val="minor"/>
      </rPr>
      <t>d</t>
    </r>
    <r>
      <rPr>
        <sz val="8"/>
        <color rgb="FF000000"/>
        <rFont val="Calibri"/>
        <family val="2"/>
        <scheme val="minor"/>
      </rPr>
      <t xml:space="preserve"> Data includes estimated production values for entities that did not respond to the survey. </t>
    </r>
    <r>
      <rPr>
        <b/>
        <sz val="8"/>
        <color rgb="FF000000"/>
        <rFont val="Calibri"/>
        <family val="2"/>
        <scheme val="minor"/>
      </rPr>
      <t>e</t>
    </r>
    <r>
      <rPr>
        <sz val="8"/>
        <color rgb="FF000000"/>
        <rFont val="Calibri"/>
        <family val="2"/>
        <scheme val="minor"/>
      </rPr>
      <t xml:space="preserve"> Includes native cypress pine. 
Sources: ABARES; Australian Bureau of Statistics; state and territory forest services; forest industry associations; private industry.</t>
    </r>
  </si>
  <si>
    <r>
      <rPr>
        <b/>
        <sz val="8"/>
        <color rgb="FF000000"/>
        <rFont val="Calibri"/>
        <family val="2"/>
      </rPr>
      <t>a</t>
    </r>
    <r>
      <rPr>
        <sz val="8"/>
        <color rgb="FF000000"/>
        <rFont val="Calibri"/>
        <family val="2"/>
      </rPr>
      <t xml:space="preserve"> Excludes firewood removals. </t>
    </r>
    <r>
      <rPr>
        <b/>
        <sz val="8"/>
        <color rgb="FF000000"/>
        <rFont val="Calibri"/>
        <family val="2"/>
      </rPr>
      <t>b</t>
    </r>
    <r>
      <rPr>
        <sz val="8"/>
        <color rgb="FF000000"/>
        <rFont val="Calibri"/>
        <family val="2"/>
      </rPr>
      <t xml:space="preserve"> Includes ACT from 2010–11. </t>
    </r>
    <r>
      <rPr>
        <b/>
        <sz val="8"/>
        <color rgb="FF000000"/>
        <rFont val="Calibri"/>
        <family val="2"/>
      </rPr>
      <t>c</t>
    </r>
    <r>
      <rPr>
        <sz val="8"/>
        <color rgb="FF000000"/>
        <rFont val="Calibri"/>
        <family val="2"/>
      </rPr>
      <t xml:space="preserve"> Data includes revisions to 2022-23 native hardwood production figures. </t>
    </r>
    <r>
      <rPr>
        <b/>
        <sz val="8"/>
        <color rgb="FF000000"/>
        <rFont val="Calibri"/>
        <family val="2"/>
      </rPr>
      <t>d</t>
    </r>
    <r>
      <rPr>
        <sz val="8"/>
        <color rgb="FF000000"/>
        <rFont val="Calibri"/>
        <family val="2"/>
      </rPr>
      <t xml:space="preserve"> Includes native cypress pine. </t>
    </r>
    <r>
      <rPr>
        <b/>
        <sz val="8"/>
        <color rgb="FF000000"/>
        <rFont val="Calibri"/>
        <family val="2"/>
      </rPr>
      <t xml:space="preserve">e </t>
    </r>
    <r>
      <rPr>
        <sz val="8"/>
        <color rgb="FF000000"/>
        <rFont val="Calibri"/>
        <family val="2"/>
      </rPr>
      <t xml:space="preserve">Includes NT from 2015–16. </t>
    </r>
    <r>
      <rPr>
        <b/>
        <sz val="8"/>
        <color rgb="FF000000"/>
        <rFont val="Calibri"/>
        <family val="2"/>
      </rPr>
      <t>f</t>
    </r>
    <r>
      <rPr>
        <sz val="8"/>
        <color rgb="FF000000"/>
        <rFont val="Calibri"/>
        <family val="2"/>
      </rPr>
      <t xml:space="preserve"> Data includes estimated production values for entities that did not respond to the survey.
Sources: ABARES; Australian Bureau of Statistics; state and territory forest services; forest industry associations; private industry.</t>
    </r>
  </si>
  <si>
    <r>
      <rPr>
        <b/>
        <sz val="8"/>
        <rFont val="Calibri"/>
        <family val="2"/>
      </rPr>
      <t>a</t>
    </r>
    <r>
      <rPr>
        <sz val="8"/>
        <rFont val="Calibri"/>
        <family val="2"/>
      </rPr>
      <t xml:space="preserve"> Estimated gross value of logs delivered to mill door (or wharf gate). </t>
    </r>
    <r>
      <rPr>
        <b/>
        <sz val="8"/>
        <rFont val="Calibri"/>
        <family val="2"/>
      </rPr>
      <t>b</t>
    </r>
    <r>
      <rPr>
        <sz val="8"/>
        <rFont val="Calibri"/>
        <family val="2"/>
      </rPr>
      <t xml:space="preserve"> Includes poles, piles, fencing and other logs not elsewhere included. </t>
    </r>
    <r>
      <rPr>
        <b/>
        <sz val="8"/>
        <rFont val="Calibri"/>
        <family val="2"/>
      </rPr>
      <t>c</t>
    </r>
    <r>
      <rPr>
        <sz val="8"/>
        <rFont val="Calibri"/>
        <family val="2"/>
      </rPr>
      <t xml:space="preserve"> Data includes revisions to 2022-23 native hardwood production figures. </t>
    </r>
    <r>
      <rPr>
        <b/>
        <sz val="8"/>
        <rFont val="Calibri"/>
        <family val="2"/>
      </rPr>
      <t>d</t>
    </r>
    <r>
      <rPr>
        <sz val="8"/>
        <rFont val="Calibri"/>
        <family val="2"/>
      </rPr>
      <t xml:space="preserve"> Data includes estimated production values for entities that did not respond to the survey. </t>
    </r>
    <r>
      <rPr>
        <b/>
        <sz val="8"/>
        <rFont val="Calibri"/>
        <family val="2"/>
      </rPr>
      <t>e</t>
    </r>
    <r>
      <rPr>
        <sz val="8"/>
        <rFont val="Calibri"/>
        <family val="2"/>
      </rPr>
      <t xml:space="preserve"> Includes native cypress pine sawlogs.
Sources: ABARES; state and territory forest services; private industry associations; private industry.</t>
    </r>
  </si>
  <si>
    <r>
      <rPr>
        <b/>
        <sz val="8"/>
        <rFont val="Calibri"/>
        <family val="2"/>
      </rPr>
      <t>a</t>
    </r>
    <r>
      <rPr>
        <sz val="8"/>
        <rFont val="Calibri"/>
        <family val="2"/>
      </rPr>
      <t xml:space="preserve"> Log type and volume in cubic metres as reported by growers. Excludes logs collected for firewood. </t>
    </r>
    <r>
      <rPr>
        <b/>
        <sz val="8"/>
        <rFont val="Calibri"/>
        <family val="2"/>
      </rPr>
      <t>b</t>
    </r>
    <r>
      <rPr>
        <sz val="8"/>
        <rFont val="Calibri"/>
        <family val="2"/>
      </rPr>
      <t xml:space="preserve"> Data includes revisions to 2022-23 native hardwood production figures. </t>
    </r>
    <r>
      <rPr>
        <b/>
        <sz val="8"/>
        <rFont val="Calibri"/>
        <family val="2"/>
      </rPr>
      <t>c</t>
    </r>
    <r>
      <rPr>
        <sz val="8"/>
        <rFont val="Calibri"/>
        <family val="2"/>
      </rPr>
      <t xml:space="preserve"> Includes logs for plywood. </t>
    </r>
    <r>
      <rPr>
        <b/>
        <sz val="8"/>
        <rFont val="Calibri"/>
        <family val="2"/>
      </rPr>
      <t>d</t>
    </r>
    <r>
      <rPr>
        <sz val="8"/>
        <rFont val="Calibri"/>
        <family val="2"/>
      </rPr>
      <t xml:space="preserve"> Category includes poles, piles, fencing and other logs not elsewhere included. </t>
    </r>
    <r>
      <rPr>
        <b/>
        <sz val="8"/>
        <rFont val="Calibri"/>
        <family val="2"/>
      </rPr>
      <t>e</t>
    </r>
    <r>
      <rPr>
        <sz val="8"/>
        <rFont val="Calibri"/>
        <family val="2"/>
      </rPr>
      <t xml:space="preserve"> Includes native hardwood logs for railway sleeper production. </t>
    </r>
    <r>
      <rPr>
        <b/>
        <sz val="8"/>
        <rFont val="Calibri"/>
        <family val="2"/>
      </rPr>
      <t>f</t>
    </r>
    <r>
      <rPr>
        <sz val="8"/>
        <rFont val="Calibri"/>
        <family val="2"/>
      </rPr>
      <t xml:space="preserve"> Data includes estimated production values for entities that did not respond to the survey. </t>
    </r>
    <r>
      <rPr>
        <b/>
        <sz val="8"/>
        <rFont val="Calibri"/>
        <family val="2"/>
      </rPr>
      <t>g</t>
    </r>
    <r>
      <rPr>
        <sz val="8"/>
        <rFont val="Calibri"/>
        <family val="2"/>
      </rPr>
      <t xml:space="preserve"> Includes hardboard, softboard, particleboard and medium density fibreboard.
Sources: ABARES; Australian Bureau of Statistics; state and territory forest services; forest industry associations; private industry.</t>
    </r>
  </si>
  <si>
    <r>
      <t>a</t>
    </r>
    <r>
      <rPr>
        <sz val="8"/>
        <color rgb="FF000000"/>
        <rFont val="Calibri"/>
        <family val="2"/>
        <scheme val="minor"/>
      </rPr>
      <t xml:space="preserve"> Totals may not tally due to rounding. </t>
    </r>
    <r>
      <rPr>
        <b/>
        <sz val="8"/>
        <color rgb="FF000000"/>
        <rFont val="Calibri"/>
        <family val="2"/>
        <scheme val="minor"/>
      </rPr>
      <t>b</t>
    </r>
    <r>
      <rPr>
        <sz val="8"/>
        <color rgb="FF000000"/>
        <rFont val="Calibri"/>
        <family val="2"/>
        <scheme val="minor"/>
      </rPr>
      <t xml:space="preserve"> Publicly owned state forest, timber reserves and other forest areas on which a range of forest values are managed by state and territory government agencies in accordance with relevant Acts and regulations, including wood production. </t>
    </r>
    <r>
      <rPr>
        <b/>
        <sz val="8"/>
        <color rgb="FF000000"/>
        <rFont val="Calibri"/>
        <family val="2"/>
        <scheme val="minor"/>
      </rPr>
      <t xml:space="preserve">c </t>
    </r>
    <r>
      <rPr>
        <sz val="8"/>
        <color rgb="FF000000"/>
        <rFont val="Calibri"/>
        <family val="2"/>
        <scheme val="minor"/>
      </rPr>
      <t xml:space="preserve">Crown land that is formally reserved for environmental, conservation and recreational purposes, including national parks, nature reserves, state and territory recreation and conservation areas, and formal reserves in state forests. </t>
    </r>
    <r>
      <rPr>
        <b/>
        <sz val="8"/>
        <color rgb="FF000000"/>
        <rFont val="Calibri"/>
        <family val="2"/>
        <scheme val="minor"/>
      </rPr>
      <t>d</t>
    </r>
    <r>
      <rPr>
        <sz val="8"/>
        <color rgb="FF000000"/>
        <rFont val="Calibri"/>
        <family val="2"/>
        <scheme val="minor"/>
      </rPr>
      <t xml:space="preserve"> Crown land allocated for a variety of purposes, including utilities, scientific research, education, stock routes, mining, water-supply catchment, and use by Indigenous communities. Excludes Leasehold Forest, Nature Conservation Reserve, and Multiple-use Forest. </t>
    </r>
    <r>
      <rPr>
        <b/>
        <sz val="8"/>
        <color rgb="FF000000"/>
        <rFont val="Calibri"/>
        <family val="2"/>
        <scheme val="minor"/>
      </rPr>
      <t>e</t>
    </r>
    <r>
      <rPr>
        <sz val="8"/>
        <color rgb="FF000000"/>
        <rFont val="Calibri"/>
        <family val="2"/>
        <scheme val="minor"/>
      </rPr>
      <t xml:space="preserve"> Forest on Crown land held under leasehold title for a specific term and purpose and generally regarded as privately managed, including land held under leasehold title with special conditions attached for designated Indigenous communities.
Source: </t>
    </r>
    <r>
      <rPr>
        <i/>
        <sz val="8"/>
        <color rgb="FF000000"/>
        <rFont val="Calibri"/>
        <family val="2"/>
        <scheme val="minor"/>
      </rPr>
      <t>Australia's State of the Forests Report 2023,</t>
    </r>
    <r>
      <rPr>
        <sz val="8"/>
        <color rgb="FF000000"/>
        <rFont val="Calibri"/>
        <family val="2"/>
        <scheme val="minor"/>
      </rPr>
      <t xml:space="preserve"> ABARES, Canberra.</t>
    </r>
  </si>
  <si>
    <r>
      <t>a</t>
    </r>
    <r>
      <rPr>
        <sz val="8"/>
        <rFont val="Calibri"/>
        <family val="2"/>
        <scheme val="minor"/>
      </rPr>
      <t xml:space="preserve"> Total includes plantations where type is unknown. Totals may not tally due to rounding. </t>
    </r>
    <r>
      <rPr>
        <b/>
        <sz val="8"/>
        <rFont val="Calibri"/>
        <family val="2"/>
        <scheme val="minor"/>
      </rPr>
      <t>b</t>
    </r>
    <r>
      <rPr>
        <sz val="8"/>
        <rFont val="Calibri"/>
        <family val="2"/>
        <scheme val="minor"/>
      </rPr>
      <t xml:space="preserve"> Data includes revisions to 2022-23 native hardwood production figures. </t>
    </r>
    <r>
      <rPr>
        <b/>
        <sz val="8"/>
        <rFont val="Calibri"/>
        <family val="2"/>
        <scheme val="minor"/>
      </rPr>
      <t>c</t>
    </r>
    <r>
      <rPr>
        <sz val="8"/>
        <rFont val="Calibri"/>
        <family val="2"/>
        <scheme val="minor"/>
      </rPr>
      <t xml:space="preserve"> Data includes estimated production values for entities that did not respond to the survey. </t>
    </r>
    <r>
      <rPr>
        <b/>
        <sz val="8"/>
        <rFont val="Calibri"/>
        <family val="2"/>
        <scheme val="minor"/>
      </rPr>
      <t>d</t>
    </r>
    <r>
      <rPr>
        <sz val="8"/>
        <rFont val="Calibri"/>
        <family val="2"/>
        <scheme val="minor"/>
      </rPr>
      <t xml:space="preserve"> ABARES sawmill survey reports (Burns, Sledge and Wicks (2009), Burns and Burke (2012), Gavran et al. (2014), Downham, Gavran and Frakes (2019), and Wong et al. (2024)). Includes native cypress pine. </t>
    </r>
    <r>
      <rPr>
        <b/>
        <sz val="8"/>
        <rFont val="Calibri"/>
        <family val="2"/>
        <scheme val="minor"/>
      </rPr>
      <t>e</t>
    </r>
    <r>
      <rPr>
        <sz val="8"/>
        <rFont val="Calibri"/>
        <family val="2"/>
        <scheme val="minor"/>
      </rPr>
      <t xml:space="preserve"> Wood-based panels data for 2021-22 is an estimate based on the ABARES National Wood Processing Survey. </t>
    </r>
    <r>
      <rPr>
        <b/>
        <sz val="8"/>
        <rFont val="Calibri"/>
        <family val="2"/>
        <scheme val="minor"/>
      </rPr>
      <t>f</t>
    </r>
    <r>
      <rPr>
        <sz val="8"/>
        <rFont val="Calibri"/>
        <family val="2"/>
        <scheme val="minor"/>
      </rPr>
      <t xml:space="preserve"> Excludes veneer, softboard, hardboard, laminated veneer lumber. </t>
    </r>
    <r>
      <rPr>
        <b/>
        <sz val="8"/>
        <rFont val="Calibri"/>
        <family val="2"/>
        <scheme val="minor"/>
      </rPr>
      <t>g</t>
    </r>
    <r>
      <rPr>
        <sz val="8"/>
        <rFont val="Calibri"/>
        <family val="2"/>
        <scheme val="minor"/>
      </rPr>
      <t xml:space="preserve"> Includes hardboard, softboard, particleboard and medium density fibreboard. From 2017–18, particleboard and medium density fibreboard data not available due to confidentiality. </t>
    </r>
    <r>
      <rPr>
        <b/>
        <sz val="8"/>
        <rFont val="Calibri"/>
        <family val="2"/>
        <scheme val="minor"/>
      </rPr>
      <t>h</t>
    </r>
    <r>
      <rPr>
        <sz val="8"/>
        <rFont val="Calibri"/>
        <family val="2"/>
        <scheme val="minor"/>
      </rPr>
      <t xml:space="preserve"> Australian Bureau of Statistics labour force survey. In March 2018, the ABS implemented an improved trend estimation method that applied to all historical data. In November 2018 , the ABS revised the Labour Force Survey data series from July 2011 to November 2018 to align with final benchmarks of estimated resident population from the 2016 Census. These changes mean that the estimates presented here are not directly comparable with estimates published in previous editions of the AFWPS. </t>
    </r>
    <r>
      <rPr>
        <b/>
        <sz val="8"/>
        <rFont val="Calibri"/>
        <family val="2"/>
        <scheme val="minor"/>
      </rPr>
      <t xml:space="preserve">i </t>
    </r>
    <r>
      <rPr>
        <sz val="8"/>
        <rFont val="Calibri"/>
        <family val="2"/>
        <scheme val="minor"/>
      </rPr>
      <t>Excludes forestry support services from 2020–21.</t>
    </r>
    <r>
      <rPr>
        <b/>
        <sz val="8"/>
        <rFont val="Calibri"/>
        <family val="2"/>
        <scheme val="minor"/>
      </rPr>
      <t xml:space="preserve"> j</t>
    </r>
    <r>
      <rPr>
        <sz val="8"/>
        <rFont val="Calibri"/>
        <family val="2"/>
        <scheme val="minor"/>
      </rPr>
      <t xml:space="preserve"> Excludes secondary wood products. </t>
    </r>
    <r>
      <rPr>
        <b/>
        <sz val="8"/>
        <rFont val="Calibri"/>
        <family val="2"/>
        <scheme val="minor"/>
      </rPr>
      <t>k</t>
    </r>
    <r>
      <rPr>
        <sz val="8"/>
        <rFont val="Calibri"/>
        <family val="2"/>
        <scheme val="minor"/>
      </rPr>
      <t xml:space="preserve"> Bone dry tonnes. </t>
    </r>
    <r>
      <rPr>
        <b/>
        <sz val="8"/>
        <rFont val="Calibri"/>
        <family val="2"/>
        <scheme val="minor"/>
      </rPr>
      <t>na</t>
    </r>
    <r>
      <rPr>
        <sz val="8"/>
        <rFont val="Calibri"/>
        <family val="2"/>
        <scheme val="minor"/>
      </rPr>
      <t xml:space="preserve"> Data not available.
Sources: ABARES, ABS, Engineered Wood Products Australia</t>
    </r>
  </si>
  <si>
    <r>
      <t xml:space="preserve">Log volume, by state and type </t>
    </r>
    <r>
      <rPr>
        <b/>
        <sz val="8"/>
        <color rgb="FF000000"/>
        <rFont val="Calibri"/>
        <family val="2"/>
      </rPr>
      <t>a</t>
    </r>
  </si>
  <si>
    <r>
      <t xml:space="preserve">Saw and veneer logs </t>
    </r>
    <r>
      <rPr>
        <b/>
        <sz val="8"/>
        <color rgb="FF000000"/>
        <rFont val="Calibri"/>
        <family val="2"/>
      </rPr>
      <t>c d</t>
    </r>
  </si>
  <si>
    <r>
      <rPr>
        <b/>
        <sz val="8"/>
        <color theme="1"/>
        <rFont val="Calibri"/>
        <family val="2"/>
        <scheme val="minor"/>
      </rPr>
      <t>a</t>
    </r>
    <r>
      <rPr>
        <sz val="8"/>
        <color theme="1"/>
        <rFont val="Calibri"/>
        <family val="2"/>
        <scheme val="minor"/>
      </rPr>
      <t xml:space="preserve"> Excludes firewood removals. 'Saw and veneer logs' category includes logs for plywood. 'Other' category includes poles, piles, fencing and other logs not elsewhere included. Softwood sawlog includes native cypress pine. Private hardwood native log estimates are based on ABARES sawmill survey reports (Burns, Sledge and Wicks (2009), Burns and Burke (2012), Gavran et al. (2014), Downham et al. (2019), and Wong et al. (2024) and private industry sources. </t>
    </r>
    <r>
      <rPr>
        <b/>
        <sz val="8"/>
        <color theme="1"/>
        <rFont val="Calibri"/>
        <family val="2"/>
        <scheme val="minor"/>
      </rPr>
      <t>b</t>
    </r>
    <r>
      <rPr>
        <sz val="8"/>
        <color theme="1"/>
        <rFont val="Calibri"/>
        <family val="2"/>
        <scheme val="minor"/>
      </rPr>
      <t xml:space="preserve"> Includes ACT from 2010–11.  </t>
    </r>
    <r>
      <rPr>
        <b/>
        <sz val="8"/>
        <color theme="1"/>
        <rFont val="Calibri"/>
        <family val="2"/>
        <scheme val="minor"/>
      </rPr>
      <t>c</t>
    </r>
    <r>
      <rPr>
        <sz val="8"/>
        <color theme="1"/>
        <rFont val="Calibri"/>
        <family val="2"/>
        <scheme val="minor"/>
      </rPr>
      <t xml:space="preserve"> Includes peeler logs. </t>
    </r>
    <r>
      <rPr>
        <b/>
        <sz val="8"/>
        <color theme="1"/>
        <rFont val="Calibri"/>
        <family val="2"/>
        <scheme val="minor"/>
      </rPr>
      <t>d</t>
    </r>
    <r>
      <rPr>
        <sz val="8"/>
        <color theme="1"/>
        <rFont val="Calibri"/>
        <family val="2"/>
        <scheme val="minor"/>
      </rPr>
      <t xml:space="preserve"> Includes native cypress pine. </t>
    </r>
    <r>
      <rPr>
        <b/>
        <sz val="8"/>
        <color theme="1"/>
        <rFont val="Calibri"/>
        <family val="2"/>
        <scheme val="minor"/>
      </rPr>
      <t>e</t>
    </r>
    <r>
      <rPr>
        <sz val="8"/>
        <color theme="1"/>
        <rFont val="Calibri"/>
        <family val="2"/>
        <scheme val="minor"/>
      </rPr>
      <t xml:space="preserve"> Includes NT from 2015–16. </t>
    </r>
    <r>
      <rPr>
        <b/>
        <sz val="8"/>
        <color theme="1"/>
        <rFont val="Calibri"/>
        <family val="2"/>
        <scheme val="minor"/>
      </rPr>
      <t>f</t>
    </r>
    <r>
      <rPr>
        <sz val="8"/>
        <color theme="1"/>
        <rFont val="Calibri"/>
        <family val="2"/>
        <scheme val="minor"/>
      </rPr>
      <t xml:space="preserve"> Data includes revisions to 2022-23 native hardwood production figures. </t>
    </r>
    <r>
      <rPr>
        <b/>
        <sz val="8"/>
        <color theme="1"/>
        <rFont val="Calibri"/>
        <family val="2"/>
        <scheme val="minor"/>
      </rPr>
      <t>g</t>
    </r>
    <r>
      <rPr>
        <sz val="8"/>
        <color theme="1"/>
        <rFont val="Calibri"/>
        <family val="2"/>
        <scheme val="minor"/>
      </rPr>
      <t xml:space="preserve"> Data includes estimated production values for entities that did not respond to the survey </t>
    </r>
    <r>
      <rPr>
        <b/>
        <sz val="8"/>
        <color theme="1"/>
        <rFont val="Calibri"/>
        <family val="2"/>
        <scheme val="minor"/>
      </rPr>
      <t>na</t>
    </r>
    <r>
      <rPr>
        <sz val="8"/>
        <color theme="1"/>
        <rFont val="Calibri"/>
        <family val="2"/>
        <scheme val="minor"/>
      </rPr>
      <t xml:space="preserve"> Data not available.
Sources: ABARES; Australian Bureau of Statistics; state and territory forest services; forest industry associations; private industry.</t>
    </r>
  </si>
  <si>
    <r>
      <t>© Commonwealth of Australia 2025.</t>
    </r>
    <r>
      <rPr>
        <b/>
        <sz val="8"/>
        <rFont val="Calibri"/>
        <family val="2"/>
        <scheme val="minor"/>
      </rPr>
      <t xml:space="preserve"> Ownership of intellectual property rights:</t>
    </r>
    <r>
      <rPr>
        <sz val="8"/>
        <rFont val="Calibri"/>
        <family val="2"/>
        <scheme val="minor"/>
      </rPr>
      <t xml:space="preserve"> Unless otherwise noted, copyright (and any other intellectual property rights, if any) in this publication is owned by the Commonwealth of Australia (referred to as the Commonwealth). </t>
    </r>
    <r>
      <rPr>
        <b/>
        <sz val="8"/>
        <rFont val="Calibri"/>
        <family val="2"/>
        <scheme val="minor"/>
      </rPr>
      <t>Creative Commons licence:</t>
    </r>
    <r>
      <rPr>
        <sz val="8"/>
        <rFont val="Calibri"/>
        <family val="2"/>
        <scheme val="minor"/>
      </rPr>
      <t xml:space="preserve"> All material in this publication is licensed under a Creative Commons Attribution 4.0 International Licence, save for content supplied by third parties, logos and the Commonwealth Coat of Arms. Creative Commons Attribution 4.0 International Licence is a standard form licence agreement that allows you to copy, distribute, transmit and adapt this publication provided you attribute the work. A summary of the licence terms is available from creativecommons.org/licenses/by/4.0. The full licence terms are available from creativecommons.org/licenses/by/4.0/legalcode</t>
    </r>
    <r>
      <rPr>
        <b/>
        <sz val="8"/>
        <rFont val="Calibri"/>
        <family val="2"/>
        <scheme val="minor"/>
      </rPr>
      <t>.</t>
    </r>
    <r>
      <rPr>
        <sz val="8"/>
        <rFont val="Calibri"/>
        <family val="2"/>
        <scheme val="minor"/>
      </rPr>
      <t xml:space="preserve">  DOI:https://doi.org/10.25814/z39k-nj30. CC BY 4.0.</t>
    </r>
    <r>
      <rPr>
        <b/>
        <sz val="8"/>
        <rFont val="Calibri"/>
        <family val="2"/>
        <scheme val="minor"/>
      </rPr>
      <t xml:space="preserve">
Professional independence
</t>
    </r>
    <r>
      <rPr>
        <sz val="8"/>
        <rFont val="Calibri"/>
        <family val="2"/>
        <scheme val="minor"/>
      </rPr>
      <t>The views and analysis presented in ABARES publications, including this one, reflect ABARES professionally independent findings, based on scientific and economic concepts, principles, information and data.  These views, analysis and findings may not reflect or be consistent with the views or positions of the Australian Government, or of organisations or groups who have commissioned ABARES reports or analysis.  More information on professional independence is provided on the ABARES website at agriculture.gov.au/abares/about/research-and-analysis#professional-independence</t>
    </r>
    <r>
      <rPr>
        <b/>
        <sz val="8"/>
        <rFont val="Calibri"/>
        <family val="2"/>
        <scheme val="minor"/>
      </rPr>
      <t xml:space="preserve">
</t>
    </r>
  </si>
  <si>
    <t>This publication (and any material sourced from it) should be attributed as: ABARES 2025, Australian forest and wood products statistics, Production and Trade to 2023-24, ABARES series report, Canberra, June, DOI:https://doi.org/10.25814/z39k-nj30. CC BY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</si>
</sst>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0.0"/>
    <numFmt numFmtId="165" formatCode="0.0%"/>
    <numFmt numFmtId="166" formatCode="_-* #,##0.0_-;\-* #,##0.0_-;_-* &quot;-&quot;??_-;_-@_-"/>
    <numFmt numFmtId="167" formatCode="_-* #,##0_-;\-* #,##0_-;_-* &quot;-&quot;??_-;_-@_-"/>
    <numFmt numFmtId="168" formatCode="#,##0.0"/>
    <numFmt numFmtId="169" formatCode="#,##0.0;\-#,##0.0"/>
    <numFmt numFmtId="170" formatCode="#,##0.00000"/>
    <numFmt numFmtId="171" formatCode="#,##0.0000"/>
    <numFmt numFmtId="172" formatCode="##\ ###"/>
    <numFmt numFmtId="173" formatCode="###\ ##0.0;\–###\ ##0"/>
    <numFmt numFmtId="174" formatCode="#,##0.000"/>
  </numFmts>
  <fonts count="53">
    <font>
      <sz val="11"/>
      <color theme="1"/>
      <name val="Calibri"/>
      <family val="2"/>
      <scheme val="minor"/>
    </font>
    <font>
      <sz val="9"/>
      <color rgb="FF000000"/>
      <name val="Calibri Light"/>
      <family val="1"/>
      <scheme val="major"/>
    </font>
    <font>
      <sz val="8"/>
      <color rgb="FF000000"/>
      <name val="Calibri"/>
      <family val="2"/>
      <scheme val="minor"/>
    </font>
    <font>
      <b/>
      <sz val="8"/>
      <color rgb="FF000000"/>
      <name val="Calibri"/>
      <family val="2"/>
      <scheme val="minor"/>
    </font>
    <font>
      <sz val="11"/>
      <color theme="1"/>
      <name val="Cambria"/>
      <family val="1"/>
    </font>
    <font>
      <b/>
      <sz val="14"/>
      <color rgb="FF000000"/>
      <name val="Calibri"/>
      <family val="2"/>
      <scheme val="minor"/>
    </font>
    <font>
      <b/>
      <sz val="16"/>
      <color rgb="FF000000"/>
      <name val="Calibri"/>
      <family val="2"/>
      <scheme val="minor"/>
    </font>
    <font>
      <i/>
      <sz val="8"/>
      <color rgb="FF000000"/>
      <name val="Calibri"/>
      <family val="2"/>
    </font>
    <font>
      <sz val="9"/>
      <color rgb="FF000000"/>
      <name val="Calibri"/>
      <family val="2"/>
    </font>
    <font>
      <sz val="10"/>
      <color indexed="0"/>
      <name val="Helv"/>
    </font>
    <font>
      <sz val="9"/>
      <color indexed="8"/>
      <name val="Calibri"/>
      <family val="2"/>
      <scheme val="minor"/>
    </font>
    <font>
      <sz val="10"/>
      <color indexed="8"/>
      <name val="Calibri"/>
      <family val="2"/>
      <scheme val="minor"/>
    </font>
    <font>
      <sz val="10"/>
      <color theme="1"/>
      <name val="Calibri"/>
      <family val="2"/>
      <scheme val="minor"/>
    </font>
    <font>
      <i/>
      <sz val="8"/>
      <color rgb="FF000000"/>
      <name val="Calibri"/>
      <family val="2"/>
      <scheme val="minor"/>
    </font>
    <font>
      <sz val="8"/>
      <name val="Calibri"/>
      <family val="2"/>
      <scheme val="minor"/>
    </font>
    <font>
      <b/>
      <sz val="10"/>
      <color indexed="8"/>
      <name val="Calibri"/>
      <family val="2"/>
      <scheme val="minor"/>
    </font>
    <font>
      <b/>
      <sz val="10"/>
      <color theme="1"/>
      <name val="Calibri"/>
      <family val="2"/>
      <scheme val="minor"/>
    </font>
    <font>
      <b/>
      <sz val="9"/>
      <color indexed="8"/>
      <name val="Calibri"/>
      <family val="2"/>
      <scheme val="minor"/>
    </font>
    <font>
      <sz val="9"/>
      <color theme="1"/>
      <name val="Calibri"/>
      <family val="2"/>
      <scheme val="minor"/>
    </font>
    <font>
      <b/>
      <sz val="10"/>
      <color rgb="FF000000"/>
      <name val="Calibri"/>
      <family val="2"/>
    </font>
    <font>
      <b/>
      <sz val="9"/>
      <color rgb="FF000000"/>
      <name val="Calibri"/>
      <family val="2"/>
    </font>
    <font>
      <b/>
      <sz val="10"/>
      <color rgb="FF000000"/>
      <name val="Calibri"/>
      <family val="2"/>
    </font>
    <font>
      <sz val="9"/>
      <color rgb="FF000000"/>
      <name val="Calibri"/>
      <family val="2"/>
    </font>
    <font>
      <i/>
      <sz val="8"/>
      <color rgb="FF000000"/>
      <name val="Calibri"/>
      <family val="2"/>
    </font>
    <font>
      <b/>
      <sz val="16"/>
      <color rgb="FF000000"/>
      <name val="Calibri"/>
      <family val="2"/>
    </font>
    <font>
      <sz val="11"/>
      <color theme="1"/>
      <name val="Calibri"/>
      <family val="2"/>
      <scheme val="minor"/>
    </font>
    <font>
      <sz val="8"/>
      <color rgb="FF000000"/>
      <name val="Calibri"/>
      <family val="2"/>
    </font>
    <font>
      <b/>
      <sz val="8"/>
      <color rgb="FF000000"/>
      <name val="Calibri"/>
      <family val="2"/>
    </font>
    <font>
      <b/>
      <sz val="8"/>
      <color theme="1"/>
      <name val="Calibri"/>
      <family val="2"/>
      <scheme val="minor"/>
    </font>
    <font>
      <sz val="8"/>
      <color theme="1"/>
      <name val="Calibri"/>
      <family val="2"/>
      <scheme val="minor"/>
    </font>
    <font>
      <i/>
      <sz val="8"/>
      <color theme="1"/>
      <name val="Calibri"/>
      <family val="2"/>
      <scheme val="minor"/>
    </font>
    <font>
      <sz val="10"/>
      <name val="Myriad Pro Light"/>
      <family val="2"/>
    </font>
    <font>
      <b/>
      <sz val="8"/>
      <name val="Myriad Pro Light"/>
      <family val="2"/>
    </font>
    <font>
      <sz val="7"/>
      <name val="Calibri"/>
      <family val="2"/>
      <scheme val="minor"/>
    </font>
    <font>
      <b/>
      <sz val="8"/>
      <name val="Calibri"/>
      <family val="2"/>
      <scheme val="minor"/>
    </font>
    <font>
      <b/>
      <sz val="9"/>
      <name val="Calibri"/>
      <family val="2"/>
      <scheme val="minor"/>
    </font>
    <font>
      <sz val="9"/>
      <name val="Calibri"/>
      <family val="2"/>
      <scheme val="minor"/>
    </font>
    <font>
      <b/>
      <sz val="10"/>
      <name val="Myriad Pro Light"/>
      <family val="2"/>
    </font>
    <font>
      <sz val="7"/>
      <color rgb="FF3333FF"/>
      <name val="Calibri"/>
      <family val="2"/>
      <scheme val="minor"/>
    </font>
    <font>
      <i/>
      <sz val="8"/>
      <name val="Calibri"/>
      <family val="2"/>
      <scheme val="minor"/>
    </font>
    <font>
      <sz val="10"/>
      <name val="Geneva"/>
    </font>
    <font>
      <sz val="8"/>
      <color indexed="8"/>
      <name val="Calibri"/>
      <family val="2"/>
      <scheme val="minor"/>
    </font>
    <font>
      <sz val="7"/>
      <color indexed="8"/>
      <name val="Calibri"/>
      <family val="2"/>
      <scheme val="minor"/>
    </font>
    <font>
      <b/>
      <sz val="8"/>
      <name val="Calibri"/>
      <family val="2"/>
    </font>
    <font>
      <sz val="8"/>
      <name val="Calibri"/>
      <family val="2"/>
    </font>
    <font>
      <sz val="9"/>
      <name val="Calibri Light"/>
      <family val="2"/>
      <scheme val="major"/>
    </font>
    <font>
      <sz val="10"/>
      <name val="Calibri"/>
      <family val="2"/>
      <scheme val="minor"/>
    </font>
    <font>
      <sz val="10"/>
      <color indexed="0"/>
      <name val="Calibri"/>
      <family val="2"/>
      <scheme val="minor"/>
    </font>
    <font>
      <b/>
      <sz val="7"/>
      <color indexed="8"/>
      <name val="Calibri"/>
      <family val="2"/>
      <scheme val="minor"/>
    </font>
    <font>
      <vertAlign val="superscript"/>
      <sz val="8"/>
      <color indexed="8"/>
      <name val="Calibri"/>
      <family val="2"/>
      <scheme val="minor"/>
    </font>
    <font>
      <b/>
      <sz val="9"/>
      <color theme="1"/>
      <name val="Calibri"/>
      <family val="2"/>
      <scheme val="minor"/>
    </font>
    <font>
      <sz val="9"/>
      <color rgb="FF000000"/>
      <name val="Calibri"/>
      <family val="2"/>
      <scheme val="minor"/>
    </font>
    <font>
      <b/>
      <sz val="9"/>
      <color rgb="FF000000"/>
      <name val="Calibri"/>
      <family val="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4">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indexed="64"/>
      </bottom>
      <diagonal/>
    </border>
    <border>
      <left/>
      <right/>
      <top/>
      <bottom style="thin">
        <color rgb="FF000000"/>
      </bottom>
      <diagonal/>
    </border>
    <border>
      <left/>
      <right style="thin">
        <color indexed="64"/>
      </right>
      <top style="thin">
        <color rgb="FF000000"/>
      </top>
      <bottom style="thin">
        <color rgb="FF000000"/>
      </bottom>
      <diagonal/>
    </border>
  </borders>
  <cellStyleXfs count="11">
    <xf numFmtId="0" fontId="0" fillId="0" borderId="0"/>
    <xf numFmtId="0" fontId="9" fillId="0" borderId="0"/>
    <xf numFmtId="43" fontId="25" fillId="0" borderId="0" applyFont="0" applyFill="0" applyBorder="0" applyAlignment="0" applyProtection="0"/>
    <xf numFmtId="9" fontId="25" fillId="0" borderId="0" applyFont="0" applyFill="0" applyBorder="0" applyAlignment="0" applyProtection="0"/>
    <xf numFmtId="0" fontId="9" fillId="0" borderId="0"/>
    <xf numFmtId="0" fontId="9" fillId="0" borderId="0"/>
    <xf numFmtId="9" fontId="40" fillId="0" borderId="0" applyFont="0" applyFill="0" applyBorder="0" applyAlignment="0" applyProtection="0"/>
    <xf numFmtId="43" fontId="25" fillId="0" borderId="0" applyFont="0" applyFill="0" applyBorder="0" applyAlignment="0" applyProtection="0"/>
    <xf numFmtId="0" fontId="9" fillId="0" borderId="0"/>
    <xf numFmtId="0" fontId="9" fillId="0" borderId="0"/>
    <xf numFmtId="0" fontId="25" fillId="0" borderId="0"/>
  </cellStyleXfs>
  <cellXfs count="179">
    <xf numFmtId="0" fontId="0" fillId="0" borderId="0" xfId="0"/>
    <xf numFmtId="0" fontId="0" fillId="2" borderId="4" xfId="0" applyFill="1" applyBorder="1"/>
    <xf numFmtId="0" fontId="0" fillId="2" borderId="0" xfId="0" applyFill="1"/>
    <xf numFmtId="0" fontId="0" fillId="3" borderId="0" xfId="0" applyFill="1"/>
    <xf numFmtId="0" fontId="0" fillId="2" borderId="5" xfId="0" applyFill="1" applyBorder="1"/>
    <xf numFmtId="0" fontId="4" fillId="2" borderId="0" xfId="0" applyFont="1" applyFill="1"/>
    <xf numFmtId="0" fontId="5" fillId="2" borderId="0" xfId="0" applyFont="1" applyFill="1"/>
    <xf numFmtId="0" fontId="0" fillId="2" borderId="6" xfId="0" applyFill="1" applyBorder="1"/>
    <xf numFmtId="0" fontId="0" fillId="2" borderId="7" xfId="0" applyFill="1" applyBorder="1"/>
    <xf numFmtId="0" fontId="0" fillId="2" borderId="8" xfId="0" applyFill="1" applyBorder="1"/>
    <xf numFmtId="0" fontId="6" fillId="0" borderId="0" xfId="0" applyFont="1"/>
    <xf numFmtId="0" fontId="8" fillId="0" borderId="0" xfId="0" applyFont="1"/>
    <xf numFmtId="0" fontId="10" fillId="0" borderId="0" xfId="1" applyFont="1" applyAlignment="1">
      <alignment horizontal="left"/>
    </xf>
    <xf numFmtId="0" fontId="10" fillId="0" borderId="0" xfId="1" applyFont="1"/>
    <xf numFmtId="0" fontId="11" fillId="0" borderId="0" xfId="1" applyFont="1"/>
    <xf numFmtId="0" fontId="12" fillId="0" borderId="0" xfId="0" applyFont="1"/>
    <xf numFmtId="37" fontId="14" fillId="0" borderId="0" xfId="1" applyNumberFormat="1" applyFont="1" applyAlignment="1">
      <alignment horizontal="right"/>
    </xf>
    <xf numFmtId="0" fontId="15" fillId="0" borderId="0" xfId="1" applyFont="1" applyAlignment="1">
      <alignment horizontal="left"/>
    </xf>
    <xf numFmtId="0" fontId="16" fillId="0" borderId="0" xfId="0" applyFont="1"/>
    <xf numFmtId="0" fontId="15" fillId="0" borderId="0" xfId="1" applyFont="1"/>
    <xf numFmtId="0" fontId="16" fillId="0" borderId="0" xfId="1" applyFont="1"/>
    <xf numFmtId="0" fontId="18" fillId="0" borderId="0" xfId="0" applyFont="1"/>
    <xf numFmtId="0" fontId="19" fillId="0" borderId="0" xfId="0" applyFont="1"/>
    <xf numFmtId="0" fontId="21" fillId="0" borderId="0" xfId="0" applyFont="1"/>
    <xf numFmtId="0" fontId="22" fillId="0" borderId="0" xfId="0" applyFont="1"/>
    <xf numFmtId="0" fontId="0" fillId="0" borderId="2" xfId="0" applyBorder="1"/>
    <xf numFmtId="0" fontId="22" fillId="0" borderId="2" xfId="0" applyFont="1" applyBorder="1"/>
    <xf numFmtId="0" fontId="8" fillId="0" borderId="2" xfId="0" applyFont="1" applyBorder="1"/>
    <xf numFmtId="0" fontId="3" fillId="0" borderId="0" xfId="0" applyFont="1" applyAlignment="1">
      <alignment vertical="top" wrapText="1" readingOrder="1"/>
    </xf>
    <xf numFmtId="0" fontId="16" fillId="0" borderId="2" xfId="0" applyFont="1" applyBorder="1"/>
    <xf numFmtId="0" fontId="15" fillId="0" borderId="2" xfId="1" applyFont="1" applyBorder="1" applyAlignment="1">
      <alignment horizontal="left"/>
    </xf>
    <xf numFmtId="0" fontId="10" fillId="0" borderId="2" xfId="1" applyFont="1" applyBorder="1" applyAlignment="1">
      <alignment horizontal="left"/>
    </xf>
    <xf numFmtId="37" fontId="14" fillId="0" borderId="2" xfId="1" applyNumberFormat="1" applyFont="1" applyBorder="1" applyAlignment="1">
      <alignment horizontal="right"/>
    </xf>
    <xf numFmtId="0" fontId="23" fillId="0" borderId="0" xfId="0" applyFont="1" applyAlignment="1">
      <alignment vertical="top" wrapText="1"/>
    </xf>
    <xf numFmtId="0" fontId="0" fillId="0" borderId="0" xfId="0" applyAlignment="1">
      <alignment horizontal="left"/>
    </xf>
    <xf numFmtId="0" fontId="21" fillId="0" borderId="2" xfId="0" applyFont="1" applyBorder="1"/>
    <xf numFmtId="0" fontId="19" fillId="0" borderId="2" xfId="0" applyFont="1" applyBorder="1"/>
    <xf numFmtId="0" fontId="22" fillId="0" borderId="0" xfId="0" applyFont="1" applyAlignment="1">
      <alignment horizontal="center"/>
    </xf>
    <xf numFmtId="0" fontId="0" fillId="0" borderId="7" xfId="0" applyBorder="1"/>
    <xf numFmtId="0" fontId="14" fillId="0" borderId="0" xfId="4" applyFont="1" applyAlignment="1" applyProtection="1">
      <alignment horizontal="right"/>
      <protection locked="0"/>
    </xf>
    <xf numFmtId="0" fontId="35" fillId="0" borderId="0" xfId="4" applyFont="1" applyAlignment="1">
      <alignment horizontal="left" vertical="center"/>
    </xf>
    <xf numFmtId="0" fontId="36" fillId="0" borderId="0" xfId="4" applyFont="1" applyAlignment="1">
      <alignment horizontal="left"/>
    </xf>
    <xf numFmtId="0" fontId="36" fillId="0" borderId="0" xfId="4" applyFont="1" applyAlignment="1">
      <alignment vertical="center"/>
    </xf>
    <xf numFmtId="37" fontId="14" fillId="0" borderId="0" xfId="4" applyNumberFormat="1" applyFont="1" applyAlignment="1">
      <alignment horizontal="right"/>
    </xf>
    <xf numFmtId="0" fontId="32" fillId="0" borderId="0" xfId="4" applyFont="1" applyAlignment="1">
      <alignment horizontal="left" vertical="center"/>
    </xf>
    <xf numFmtId="0" fontId="37" fillId="0" borderId="0" xfId="4" applyFont="1" applyAlignment="1">
      <alignment vertical="center"/>
    </xf>
    <xf numFmtId="0" fontId="32" fillId="0" borderId="0" xfId="4" applyFont="1" applyAlignment="1">
      <alignment horizontal="left"/>
    </xf>
    <xf numFmtId="0" fontId="31" fillId="0" borderId="0" xfId="4" applyFont="1"/>
    <xf numFmtId="0" fontId="33" fillId="0" borderId="0" xfId="4" applyFont="1" applyAlignment="1" applyProtection="1">
      <alignment vertical="top" wrapText="1"/>
      <protection locked="0"/>
    </xf>
    <xf numFmtId="0" fontId="38" fillId="0" borderId="0" xfId="4" applyFont="1" applyAlignment="1" applyProtection="1">
      <alignment horizontal="left" vertical="top" wrapText="1"/>
      <protection locked="0"/>
    </xf>
    <xf numFmtId="0" fontId="14" fillId="0" borderId="2" xfId="4" applyFont="1" applyBorder="1" applyAlignment="1" applyProtection="1">
      <alignment horizontal="right"/>
      <protection locked="0"/>
    </xf>
    <xf numFmtId="0" fontId="20" fillId="0" borderId="0" xfId="0" applyFont="1" applyAlignment="1">
      <alignment horizontal="center" wrapText="1"/>
    </xf>
    <xf numFmtId="0" fontId="35" fillId="0" borderId="0" xfId="4" applyFont="1" applyAlignment="1">
      <alignment horizontal="left"/>
    </xf>
    <xf numFmtId="0" fontId="36" fillId="0" borderId="0" xfId="4" applyFont="1" applyAlignment="1" applyProtection="1">
      <alignment horizontal="left" vertical="top"/>
      <protection locked="0"/>
    </xf>
    <xf numFmtId="0" fontId="35" fillId="0" borderId="0" xfId="4" applyFont="1" applyAlignment="1" applyProtection="1">
      <alignment horizontal="left" vertical="top"/>
      <protection locked="0"/>
    </xf>
    <xf numFmtId="0" fontId="35" fillId="0" borderId="2" xfId="4" applyFont="1" applyBorder="1" applyAlignment="1" applyProtection="1">
      <alignment horizontal="left" vertical="top"/>
      <protection locked="0"/>
    </xf>
    <xf numFmtId="0" fontId="18" fillId="0" borderId="2" xfId="0" applyFont="1" applyBorder="1"/>
    <xf numFmtId="0" fontId="35" fillId="0" borderId="11" xfId="4" applyFont="1" applyBorder="1" applyAlignment="1">
      <alignment horizontal="left" vertical="center"/>
    </xf>
    <xf numFmtId="0" fontId="10" fillId="0" borderId="0" xfId="1" applyFont="1" applyAlignment="1">
      <alignment horizontal="right"/>
    </xf>
    <xf numFmtId="0" fontId="8" fillId="0" borderId="2" xfId="0" applyFont="1" applyBorder="1" applyAlignment="1">
      <alignment horizontal="right"/>
    </xf>
    <xf numFmtId="0" fontId="22" fillId="0" borderId="0" xfId="0" applyFont="1" applyAlignment="1">
      <alignment horizontal="right"/>
    </xf>
    <xf numFmtId="0" fontId="0" fillId="0" borderId="0" xfId="0" applyAlignment="1">
      <alignment horizontal="right"/>
    </xf>
    <xf numFmtId="0" fontId="22" fillId="0" borderId="2" xfId="0" applyFont="1" applyBorder="1" applyAlignment="1">
      <alignment horizontal="right"/>
    </xf>
    <xf numFmtId="0" fontId="10" fillId="0" borderId="2" xfId="1" applyFont="1" applyBorder="1" applyAlignment="1">
      <alignment horizontal="right"/>
    </xf>
    <xf numFmtId="0" fontId="20" fillId="0" borderId="10" xfId="0" applyFont="1" applyBorder="1" applyAlignment="1">
      <alignment horizontal="center"/>
    </xf>
    <xf numFmtId="0" fontId="20" fillId="0" borderId="9" xfId="0" applyFont="1" applyBorder="1" applyAlignment="1">
      <alignment horizontal="center"/>
    </xf>
    <xf numFmtId="0" fontId="20" fillId="0" borderId="10" xfId="0" applyFont="1" applyBorder="1" applyAlignment="1">
      <alignment horizontal="right"/>
    </xf>
    <xf numFmtId="0" fontId="20" fillId="0" borderId="10" xfId="0" applyFont="1" applyBorder="1" applyAlignment="1">
      <alignment horizontal="center" vertical="center"/>
    </xf>
    <xf numFmtId="0" fontId="20" fillId="0" borderId="11" xfId="0" applyFont="1" applyBorder="1" applyAlignment="1">
      <alignment horizontal="center"/>
    </xf>
    <xf numFmtId="0" fontId="20" fillId="0" borderId="11" xfId="0" applyFont="1" applyBorder="1" applyAlignment="1">
      <alignment horizontal="center" vertical="center"/>
    </xf>
    <xf numFmtId="0" fontId="36" fillId="0" borderId="11" xfId="4" applyFont="1" applyBorder="1" applyAlignment="1">
      <alignment horizontal="left"/>
    </xf>
    <xf numFmtId="164" fontId="0" fillId="0" borderId="0" xfId="0" applyNumberFormat="1"/>
    <xf numFmtId="167" fontId="0" fillId="0" borderId="0" xfId="2" applyNumberFormat="1" applyFont="1"/>
    <xf numFmtId="167" fontId="0" fillId="0" borderId="0" xfId="2" applyNumberFormat="1" applyFont="1" applyAlignment="1">
      <alignment horizontal="right"/>
    </xf>
    <xf numFmtId="0" fontId="18" fillId="0" borderId="0" xfId="1" applyFont="1" applyAlignment="1">
      <alignment horizontal="right"/>
    </xf>
    <xf numFmtId="0" fontId="18" fillId="0" borderId="0" xfId="0" applyFont="1" applyAlignment="1">
      <alignment horizontal="right"/>
    </xf>
    <xf numFmtId="9" fontId="0" fillId="0" borderId="0" xfId="3" applyFont="1"/>
    <xf numFmtId="43" fontId="0" fillId="0" borderId="0" xfId="0" applyNumberFormat="1"/>
    <xf numFmtId="166" fontId="0" fillId="0" borderId="0" xfId="0" applyNumberFormat="1"/>
    <xf numFmtId="0" fontId="8" fillId="0" borderId="0" xfId="0" applyFont="1" applyAlignment="1">
      <alignment horizontal="right"/>
    </xf>
    <xf numFmtId="165" fontId="0" fillId="0" borderId="0" xfId="3" applyNumberFormat="1" applyFont="1"/>
    <xf numFmtId="168" fontId="41" fillId="0" borderId="0" xfId="1" quotePrefix="1" applyNumberFormat="1" applyFont="1" applyAlignment="1">
      <alignment horizontal="right"/>
    </xf>
    <xf numFmtId="3" fontId="41" fillId="0" borderId="0" xfId="1" quotePrefix="1" applyNumberFormat="1" applyFont="1" applyAlignment="1">
      <alignment horizontal="right"/>
    </xf>
    <xf numFmtId="164" fontId="0" fillId="0" borderId="0" xfId="0" applyNumberFormat="1" applyAlignment="1">
      <alignment horizontal="right"/>
    </xf>
    <xf numFmtId="0" fontId="20" fillId="0" borderId="9" xfId="0" applyFont="1" applyBorder="1" applyAlignment="1">
      <alignment horizontal="right"/>
    </xf>
    <xf numFmtId="0" fontId="20" fillId="0" borderId="0" xfId="0" applyFont="1" applyAlignment="1">
      <alignment horizontal="right" wrapText="1"/>
    </xf>
    <xf numFmtId="0" fontId="20" fillId="0" borderId="11" xfId="0" applyFont="1" applyBorder="1" applyAlignment="1">
      <alignment horizontal="right"/>
    </xf>
    <xf numFmtId="9" fontId="41" fillId="0" borderId="0" xfId="3" quotePrefix="1" applyFont="1" applyAlignment="1">
      <alignment horizontal="right"/>
    </xf>
    <xf numFmtId="165" fontId="41" fillId="0" borderId="0" xfId="3" quotePrefix="1" applyNumberFormat="1" applyFont="1" applyAlignment="1">
      <alignment horizontal="right"/>
    </xf>
    <xf numFmtId="1" fontId="14" fillId="0" borderId="0" xfId="1" applyNumberFormat="1" applyFont="1" applyAlignment="1">
      <alignment horizontal="right"/>
    </xf>
    <xf numFmtId="168" fontId="41" fillId="0" borderId="2" xfId="1" quotePrefix="1" applyNumberFormat="1" applyFont="1" applyBorder="1" applyAlignment="1">
      <alignment horizontal="right"/>
    </xf>
    <xf numFmtId="3" fontId="41" fillId="0" borderId="2" xfId="1" quotePrefix="1" applyNumberFormat="1" applyFont="1" applyBorder="1" applyAlignment="1">
      <alignment horizontal="right"/>
    </xf>
    <xf numFmtId="4" fontId="41" fillId="0" borderId="2" xfId="1" quotePrefix="1" applyNumberFormat="1" applyFont="1" applyBorder="1" applyAlignment="1">
      <alignment horizontal="right"/>
    </xf>
    <xf numFmtId="164" fontId="41" fillId="0" borderId="0" xfId="3" quotePrefix="1" applyNumberFormat="1" applyFont="1" applyAlignment="1">
      <alignment horizontal="right"/>
    </xf>
    <xf numFmtId="164" fontId="41" fillId="0" borderId="0" xfId="1" quotePrefix="1" applyNumberFormat="1" applyFont="1" applyAlignment="1">
      <alignment horizontal="right"/>
    </xf>
    <xf numFmtId="164" fontId="41" fillId="0" borderId="2" xfId="3" quotePrefix="1" applyNumberFormat="1" applyFont="1" applyBorder="1" applyAlignment="1">
      <alignment horizontal="right"/>
    </xf>
    <xf numFmtId="169" fontId="41" fillId="0" borderId="0" xfId="1" applyNumberFormat="1" applyFont="1" applyAlignment="1">
      <alignment horizontal="right"/>
    </xf>
    <xf numFmtId="169" fontId="11" fillId="0" borderId="0" xfId="1" applyNumberFormat="1" applyFont="1"/>
    <xf numFmtId="169" fontId="42" fillId="0" borderId="0" xfId="1" quotePrefix="1" applyNumberFormat="1" applyFont="1" applyAlignment="1">
      <alignment horizontal="right" vertical="center"/>
    </xf>
    <xf numFmtId="3" fontId="41" fillId="0" borderId="0" xfId="1" applyNumberFormat="1" applyFont="1" applyAlignment="1">
      <alignment horizontal="right"/>
    </xf>
    <xf numFmtId="3" fontId="11" fillId="0" borderId="0" xfId="1" applyNumberFormat="1" applyFont="1"/>
    <xf numFmtId="3" fontId="41" fillId="0" borderId="2" xfId="1" applyNumberFormat="1" applyFont="1" applyBorder="1" applyAlignment="1">
      <alignment horizontal="right"/>
    </xf>
    <xf numFmtId="170" fontId="41" fillId="0" borderId="0" xfId="1" quotePrefix="1" applyNumberFormat="1" applyFont="1" applyAlignment="1">
      <alignment horizontal="right"/>
    </xf>
    <xf numFmtId="3" fontId="0" fillId="0" borderId="0" xfId="0" applyNumberFormat="1"/>
    <xf numFmtId="164" fontId="41" fillId="0" borderId="0" xfId="6" applyNumberFormat="1" applyFont="1" applyFill="1" applyBorder="1" applyAlignment="1">
      <alignment horizontal="right"/>
    </xf>
    <xf numFmtId="165" fontId="41" fillId="0" borderId="2" xfId="3" quotePrefix="1" applyNumberFormat="1" applyFont="1" applyBorder="1" applyAlignment="1">
      <alignment horizontal="right"/>
    </xf>
    <xf numFmtId="9" fontId="41" fillId="0" borderId="2" xfId="3" quotePrefix="1" applyFont="1" applyBorder="1" applyAlignment="1">
      <alignment horizontal="right"/>
    </xf>
    <xf numFmtId="168" fontId="0" fillId="0" borderId="0" xfId="0" applyNumberFormat="1"/>
    <xf numFmtId="171" fontId="41" fillId="0" borderId="0" xfId="1" quotePrefix="1" applyNumberFormat="1" applyFont="1" applyAlignment="1">
      <alignment horizontal="right"/>
    </xf>
    <xf numFmtId="168" fontId="41" fillId="0" borderId="0" xfId="1" applyNumberFormat="1" applyFont="1" applyAlignment="1">
      <alignment horizontal="right"/>
    </xf>
    <xf numFmtId="0" fontId="20" fillId="3" borderId="10" xfId="0" applyFont="1" applyFill="1" applyBorder="1" applyAlignment="1">
      <alignment horizontal="center"/>
    </xf>
    <xf numFmtId="0" fontId="0" fillId="0" borderId="7" xfId="0" applyBorder="1" applyAlignment="1">
      <alignment horizontal="right"/>
    </xf>
    <xf numFmtId="0" fontId="0" fillId="0" borderId="4" xfId="0" applyBorder="1"/>
    <xf numFmtId="0" fontId="20" fillId="0" borderId="13" xfId="0" applyFont="1" applyBorder="1" applyAlignment="1">
      <alignment horizontal="right"/>
    </xf>
    <xf numFmtId="0" fontId="10" fillId="0" borderId="4" xfId="1" applyFont="1" applyBorder="1" applyAlignment="1">
      <alignment horizontal="right"/>
    </xf>
    <xf numFmtId="0" fontId="10" fillId="0" borderId="1" xfId="1" applyFont="1" applyBorder="1" applyAlignment="1">
      <alignment horizontal="right"/>
    </xf>
    <xf numFmtId="169" fontId="41" fillId="0" borderId="2" xfId="1" applyNumberFormat="1" applyFont="1" applyBorder="1" applyAlignment="1">
      <alignment horizontal="right"/>
    </xf>
    <xf numFmtId="37" fontId="41" fillId="0" borderId="0" xfId="8" applyNumberFormat="1" applyFont="1" applyAlignment="1">
      <alignment horizontal="right"/>
    </xf>
    <xf numFmtId="37" fontId="41" fillId="0" borderId="0" xfId="1" applyNumberFormat="1" applyFont="1" applyAlignment="1">
      <alignment horizontal="right"/>
    </xf>
    <xf numFmtId="169" fontId="41" fillId="0" borderId="0" xfId="1" quotePrefix="1" applyNumberFormat="1" applyFont="1" applyAlignment="1">
      <alignment horizontal="right"/>
    </xf>
    <xf numFmtId="172" fontId="41" fillId="0" borderId="0" xfId="1" applyNumberFormat="1" applyFont="1" applyAlignment="1">
      <alignment horizontal="right"/>
    </xf>
    <xf numFmtId="39" fontId="41" fillId="0" borderId="2" xfId="0" applyNumberFormat="1" applyFont="1" applyBorder="1" applyAlignment="1">
      <alignment horizontal="right"/>
    </xf>
    <xf numFmtId="3" fontId="14" fillId="0" borderId="0" xfId="1" applyNumberFormat="1" applyFont="1" applyAlignment="1">
      <alignment horizontal="right"/>
    </xf>
    <xf numFmtId="173" fontId="14" fillId="0" borderId="0" xfId="1" applyNumberFormat="1" applyFont="1" applyAlignment="1">
      <alignment horizontal="right"/>
    </xf>
    <xf numFmtId="0" fontId="42" fillId="0" borderId="0" xfId="1" applyFont="1" applyAlignment="1">
      <alignment horizontal="left"/>
    </xf>
    <xf numFmtId="0" fontId="46" fillId="0" borderId="0" xfId="9" applyFont="1"/>
    <xf numFmtId="0" fontId="47" fillId="0" borderId="0" xfId="9" applyFont="1"/>
    <xf numFmtId="173" fontId="14" fillId="0" borderId="2" xfId="1" applyNumberFormat="1" applyFont="1" applyBorder="1" applyAlignment="1">
      <alignment horizontal="right"/>
    </xf>
    <xf numFmtId="3" fontId="29" fillId="0" borderId="0" xfId="1" applyNumberFormat="1" applyFont="1" applyAlignment="1">
      <alignment horizontal="right"/>
    </xf>
    <xf numFmtId="164" fontId="41" fillId="0" borderId="2" xfId="1" quotePrefix="1" applyNumberFormat="1" applyFont="1" applyBorder="1" applyAlignment="1">
      <alignment horizontal="right"/>
    </xf>
    <xf numFmtId="3" fontId="41" fillId="0" borderId="0" xfId="1" quotePrefix="1" applyNumberFormat="1" applyFont="1" applyAlignment="1">
      <alignment horizontal="left"/>
    </xf>
    <xf numFmtId="0" fontId="17" fillId="0" borderId="0" xfId="1" applyFont="1" applyAlignment="1">
      <alignment horizontal="left"/>
    </xf>
    <xf numFmtId="0" fontId="10" fillId="0" borderId="0" xfId="1" applyFont="1" applyAlignment="1" applyProtection="1">
      <alignment horizontal="left"/>
      <protection locked="0"/>
    </xf>
    <xf numFmtId="0" fontId="41" fillId="0" borderId="0" xfId="1" applyFont="1"/>
    <xf numFmtId="0" fontId="17" fillId="0" borderId="0" xfId="1" applyFont="1" applyAlignment="1" applyProtection="1">
      <alignment horizontal="left"/>
      <protection locked="0"/>
    </xf>
    <xf numFmtId="0" fontId="11" fillId="0" borderId="0" xfId="1" applyFont="1" applyAlignment="1">
      <alignment vertical="center"/>
    </xf>
    <xf numFmtId="0" fontId="41" fillId="0" borderId="0" xfId="1" applyFont="1" applyAlignment="1" applyProtection="1">
      <alignment horizontal="right"/>
      <protection locked="0"/>
    </xf>
    <xf numFmtId="0" fontId="17" fillId="0" borderId="0" xfId="5" applyFont="1" applyAlignment="1">
      <alignment horizontal="left"/>
    </xf>
    <xf numFmtId="0" fontId="41" fillId="0" borderId="0" xfId="5" applyFont="1" applyAlignment="1">
      <alignment horizontal="left"/>
    </xf>
    <xf numFmtId="0" fontId="10" fillId="0" borderId="0" xfId="5" applyFont="1" applyAlignment="1">
      <alignment horizontal="left"/>
    </xf>
    <xf numFmtId="0" fontId="17" fillId="0" borderId="2" xfId="5" applyFont="1" applyBorder="1" applyAlignment="1">
      <alignment horizontal="left"/>
    </xf>
    <xf numFmtId="0" fontId="41" fillId="0" borderId="2" xfId="5" applyFont="1" applyBorder="1" applyAlignment="1">
      <alignment horizontal="left"/>
    </xf>
    <xf numFmtId="0" fontId="41" fillId="0" borderId="0" xfId="5" applyFont="1" applyAlignment="1">
      <alignment horizontal="right" vertical="justify"/>
    </xf>
    <xf numFmtId="0" fontId="41" fillId="0" borderId="2" xfId="5" applyFont="1" applyBorder="1" applyAlignment="1">
      <alignment horizontal="right" vertical="justify"/>
    </xf>
    <xf numFmtId="0" fontId="10" fillId="0" borderId="2" xfId="5" applyFont="1" applyBorder="1" applyAlignment="1">
      <alignment horizontal="left"/>
    </xf>
    <xf numFmtId="0" fontId="50" fillId="0" borderId="0" xfId="10" applyFont="1" applyAlignment="1">
      <alignment horizontal="left"/>
    </xf>
    <xf numFmtId="0" fontId="18" fillId="0" borderId="0" xfId="10" applyFont="1" applyAlignment="1">
      <alignment horizontal="left"/>
    </xf>
    <xf numFmtId="0" fontId="41" fillId="0" borderId="0" xfId="1" applyFont="1" applyAlignment="1">
      <alignment horizontal="left"/>
    </xf>
    <xf numFmtId="0" fontId="41" fillId="0" borderId="0" xfId="1" applyFont="1" applyAlignment="1">
      <alignment horizontal="right"/>
    </xf>
    <xf numFmtId="0" fontId="17" fillId="0" borderId="2" xfId="1" applyFont="1" applyBorder="1" applyAlignment="1">
      <alignment horizontal="left"/>
    </xf>
    <xf numFmtId="0" fontId="41" fillId="0" borderId="2" xfId="1" applyFont="1" applyBorder="1" applyAlignment="1">
      <alignment horizontal="left"/>
    </xf>
    <xf numFmtId="0" fontId="41" fillId="0" borderId="0" xfId="1" applyFont="1" applyAlignment="1">
      <alignment horizontal="right" vertical="center"/>
    </xf>
    <xf numFmtId="0" fontId="41" fillId="0" borderId="2" xfId="1" applyFont="1" applyBorder="1" applyAlignment="1">
      <alignment horizontal="right"/>
    </xf>
    <xf numFmtId="4" fontId="41" fillId="0" borderId="0" xfId="1" quotePrefix="1" applyNumberFormat="1" applyFont="1" applyAlignment="1">
      <alignment horizontal="right"/>
    </xf>
    <xf numFmtId="174" fontId="0" fillId="0" borderId="0" xfId="0" applyNumberFormat="1"/>
    <xf numFmtId="10" fontId="0" fillId="0" borderId="0" xfId="3" applyNumberFormat="1" applyFont="1"/>
    <xf numFmtId="0" fontId="14" fillId="2" borderId="5" xfId="0" applyFont="1" applyFill="1" applyBorder="1" applyAlignment="1">
      <alignment horizontal="left" vertical="top" wrapText="1"/>
    </xf>
    <xf numFmtId="0" fontId="2" fillId="2" borderId="0" xfId="0" applyFont="1" applyFill="1" applyAlignment="1">
      <alignment horizontal="left" vertical="top" wrapText="1"/>
    </xf>
    <xf numFmtId="0" fontId="2" fillId="2" borderId="4" xfId="0" applyFont="1" applyFill="1" applyBorder="1" applyAlignment="1">
      <alignment horizontal="left" vertical="top" wrapText="1"/>
    </xf>
    <xf numFmtId="0" fontId="45" fillId="0" borderId="3" xfId="0" applyFont="1" applyBorder="1" applyAlignment="1">
      <alignment horizontal="left" vertical="top" wrapText="1"/>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24" fillId="0" borderId="12" xfId="0" applyFont="1" applyBorder="1" applyAlignment="1">
      <alignment horizontal="left"/>
    </xf>
    <xf numFmtId="0" fontId="34" fillId="0" borderId="7" xfId="0" applyFont="1" applyBorder="1" applyAlignment="1">
      <alignment horizontal="left" vertical="top" wrapText="1" readingOrder="1"/>
    </xf>
    <xf numFmtId="0" fontId="7" fillId="0" borderId="0" xfId="0" applyFont="1" applyAlignment="1">
      <alignment horizontal="justify" vertical="top" wrapText="1"/>
    </xf>
    <xf numFmtId="0" fontId="0" fillId="0" borderId="0" xfId="0"/>
    <xf numFmtId="0" fontId="3" fillId="0" borderId="0" xfId="0" applyFont="1" applyAlignment="1">
      <alignment horizontal="left" vertical="top" wrapText="1" readingOrder="1"/>
    </xf>
    <xf numFmtId="0" fontId="26" fillId="0" borderId="7" xfId="0" applyFont="1" applyBorder="1" applyAlignment="1">
      <alignment horizontal="left" vertical="top" wrapText="1"/>
    </xf>
    <xf numFmtId="0" fontId="44" fillId="0" borderId="7" xfId="0" applyFont="1" applyBorder="1" applyAlignment="1">
      <alignment horizontal="left" vertical="top" wrapText="1"/>
    </xf>
    <xf numFmtId="0" fontId="26" fillId="0" borderId="8" xfId="0" applyFont="1" applyBorder="1" applyAlignment="1">
      <alignment horizontal="left" vertical="top" wrapText="1"/>
    </xf>
    <xf numFmtId="0" fontId="26" fillId="0" borderId="0" xfId="0" applyFont="1" applyAlignment="1">
      <alignment horizontal="left" vertical="top" wrapText="1"/>
    </xf>
    <xf numFmtId="0" fontId="29" fillId="0" borderId="7" xfId="0" applyFont="1" applyBorder="1" applyAlignment="1">
      <alignment horizontal="left" vertical="top" wrapText="1" readingOrder="1"/>
    </xf>
    <xf numFmtId="0" fontId="3" fillId="0" borderId="7" xfId="0" applyFont="1" applyBorder="1" applyAlignment="1">
      <alignment horizontal="left" vertical="top" wrapText="1" readingOrder="1"/>
    </xf>
    <xf numFmtId="0" fontId="24" fillId="0" borderId="0" xfId="0" applyFont="1" applyAlignment="1">
      <alignment horizontal="left"/>
    </xf>
    <xf numFmtId="0" fontId="29" fillId="0" borderId="7" xfId="0" applyFont="1" applyBorder="1" applyAlignment="1">
      <alignment horizontal="left" vertical="top" wrapText="1"/>
    </xf>
    <xf numFmtId="0" fontId="2" fillId="0" borderId="7" xfId="0" applyFont="1" applyBorder="1" applyAlignment="1">
      <alignment horizontal="left" vertical="top" wrapText="1"/>
    </xf>
    <xf numFmtId="0" fontId="14" fillId="0" borderId="0" xfId="4" applyFont="1" applyAlignment="1" applyProtection="1">
      <alignment horizontal="left" vertical="top" wrapText="1"/>
      <protection locked="0"/>
    </xf>
    <xf numFmtId="0" fontId="29" fillId="0" borderId="7" xfId="0" applyFont="1" applyBorder="1" applyAlignment="1">
      <alignment horizontal="left" wrapText="1"/>
    </xf>
    <xf numFmtId="0" fontId="14" fillId="0" borderId="7" xfId="0" applyFont="1" applyBorder="1" applyAlignment="1">
      <alignment horizontal="left" vertical="top" wrapText="1"/>
    </xf>
  </cellXfs>
  <cellStyles count="11">
    <cellStyle name="Comma" xfId="2" builtinId="3"/>
    <cellStyle name="Comma 2" xfId="7" xr:uid="{4BA0E0B6-FF98-4D09-B82D-30CA0A2F56EE}"/>
    <cellStyle name="Normal" xfId="0" builtinId="0"/>
    <cellStyle name="Normal 2" xfId="1" xr:uid="{49AD946F-0170-4208-8B35-5DE8D87D2BDA}"/>
    <cellStyle name="Normal 2 2 2" xfId="5" xr:uid="{FA282CC0-3DD9-4432-9A50-179B99AD2869}"/>
    <cellStyle name="Normal 4" xfId="10" xr:uid="{8285A049-6B14-4A3C-8B72-B18D97C8CA46}"/>
    <cellStyle name="Normal 7" xfId="4" xr:uid="{AACDD171-EFD7-4D5E-A120-EC2028A093DB}"/>
    <cellStyle name="Normal_newdwellings" xfId="9" xr:uid="{17BB0FB2-14D4-488B-B9B6-304BC8C3AB9D}"/>
    <cellStyle name="Normal_volvallog" xfId="8" xr:uid="{98EE9885-30A6-407D-BD85-D936A650CB5A}"/>
    <cellStyle name="Percent" xfId="3" builtinId="5"/>
    <cellStyle name="Percent 3" xfId="6" xr:uid="{5FC601E7-9FAE-4F04-9C37-324DBD7F385A}"/>
  </cellStyles>
  <dxfs count="72">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ndense val="0"/>
        <extend val="0"/>
        <color rgb="FF9C0006"/>
      </font>
      <fill>
        <patternFill>
          <bgColor rgb="FFFFC7CE"/>
        </patternFill>
      </fill>
    </dxf>
    <dxf>
      <fill>
        <patternFill>
          <bgColor rgb="FFFF0000"/>
        </patternFill>
      </fill>
    </dxf>
    <dxf>
      <fill>
        <patternFill>
          <bgColor rgb="FFFF0000"/>
        </patternFill>
      </fill>
    </dxf>
    <dxf>
      <font>
        <condense val="0"/>
        <extend val="0"/>
        <color rgb="FF9C0006"/>
      </font>
      <fill>
        <patternFill>
          <bgColor rgb="FFFFC7CE"/>
        </patternFill>
      </fill>
    </dxf>
    <dxf>
      <fill>
        <patternFill>
          <bgColor rgb="FFFF0000"/>
        </patternFill>
      </fill>
    </dxf>
    <dxf>
      <fill>
        <patternFill>
          <bgColor rgb="FFFF0000"/>
        </patternFill>
      </fill>
    </dxf>
    <dxf>
      <font>
        <condense val="0"/>
        <extend val="0"/>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9525</xdr:rowOff>
    </xdr:from>
    <xdr:to>
      <xdr:col>4</xdr:col>
      <xdr:colOff>11430</xdr:colOff>
      <xdr:row>5</xdr:row>
      <xdr:rowOff>81153</xdr:rowOff>
    </xdr:to>
    <xdr:pic>
      <xdr:nvPicPr>
        <xdr:cNvPr id="4" name="Picture 3">
          <a:extLst>
            <a:ext uri="{FF2B5EF4-FFF2-40B4-BE49-F238E27FC236}">
              <a16:creationId xmlns:a16="http://schemas.microsoft.com/office/drawing/2014/main" id="{63031B2A-D48E-4042-89C5-A23FB9A470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276225"/>
          <a:ext cx="2430780" cy="8336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19049</xdr:colOff>
      <xdr:row>0</xdr:row>
      <xdr:rowOff>9524</xdr:rowOff>
    </xdr:from>
    <xdr:to>
      <xdr:col>3</xdr:col>
      <xdr:colOff>293809</xdr:colOff>
      <xdr:row>0</xdr:row>
      <xdr:rowOff>895350</xdr:rowOff>
    </xdr:to>
    <xdr:pic>
      <xdr:nvPicPr>
        <xdr:cNvPr id="4" name="Picture 3">
          <a:extLst>
            <a:ext uri="{FF2B5EF4-FFF2-40B4-BE49-F238E27FC236}">
              <a16:creationId xmlns:a16="http://schemas.microsoft.com/office/drawing/2014/main" id="{4F56C43B-3BFE-47FE-92BB-EE1FA2869F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9" y="9524"/>
          <a:ext cx="2582985" cy="8858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3</xdr:col>
      <xdr:colOff>573210</xdr:colOff>
      <xdr:row>0</xdr:row>
      <xdr:rowOff>895351</xdr:rowOff>
    </xdr:to>
    <xdr:pic>
      <xdr:nvPicPr>
        <xdr:cNvPr id="3" name="Picture 2">
          <a:extLst>
            <a:ext uri="{FF2B5EF4-FFF2-40B4-BE49-F238E27FC236}">
              <a16:creationId xmlns:a16="http://schemas.microsoft.com/office/drawing/2014/main" id="{47656BA6-1BCE-41AB-8F54-6743E2771B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4</xdr:col>
      <xdr:colOff>316035</xdr:colOff>
      <xdr:row>0</xdr:row>
      <xdr:rowOff>895351</xdr:rowOff>
    </xdr:to>
    <xdr:pic>
      <xdr:nvPicPr>
        <xdr:cNvPr id="3" name="Picture 2">
          <a:extLst>
            <a:ext uri="{FF2B5EF4-FFF2-40B4-BE49-F238E27FC236}">
              <a16:creationId xmlns:a16="http://schemas.microsoft.com/office/drawing/2014/main" id="{CA3139B7-7E7C-4BB3-B346-E18F3B8382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4</xdr:col>
      <xdr:colOff>255710</xdr:colOff>
      <xdr:row>0</xdr:row>
      <xdr:rowOff>895351</xdr:rowOff>
    </xdr:to>
    <xdr:pic>
      <xdr:nvPicPr>
        <xdr:cNvPr id="3" name="Picture 2">
          <a:extLst>
            <a:ext uri="{FF2B5EF4-FFF2-40B4-BE49-F238E27FC236}">
              <a16:creationId xmlns:a16="http://schemas.microsoft.com/office/drawing/2014/main" id="{1FF9AC0A-CC3E-4A04-BC60-FEED56E126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3</xdr:col>
      <xdr:colOff>2001960</xdr:colOff>
      <xdr:row>0</xdr:row>
      <xdr:rowOff>895351</xdr:rowOff>
    </xdr:to>
    <xdr:pic>
      <xdr:nvPicPr>
        <xdr:cNvPr id="3" name="Picture 2">
          <a:extLst>
            <a:ext uri="{FF2B5EF4-FFF2-40B4-BE49-F238E27FC236}">
              <a16:creationId xmlns:a16="http://schemas.microsoft.com/office/drawing/2014/main" id="{670E4FF1-CD45-47FA-B796-33EC6CFF10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4</xdr:col>
      <xdr:colOff>14410</xdr:colOff>
      <xdr:row>0</xdr:row>
      <xdr:rowOff>895351</xdr:rowOff>
    </xdr:to>
    <xdr:pic>
      <xdr:nvPicPr>
        <xdr:cNvPr id="3" name="Picture 2">
          <a:extLst>
            <a:ext uri="{FF2B5EF4-FFF2-40B4-BE49-F238E27FC236}">
              <a16:creationId xmlns:a16="http://schemas.microsoft.com/office/drawing/2014/main" id="{7AF7C73B-59E2-4C70-8246-BE5779362B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4</xdr:col>
      <xdr:colOff>630360</xdr:colOff>
      <xdr:row>0</xdr:row>
      <xdr:rowOff>895351</xdr:rowOff>
    </xdr:to>
    <xdr:pic>
      <xdr:nvPicPr>
        <xdr:cNvPr id="3" name="Picture 2">
          <a:extLst>
            <a:ext uri="{FF2B5EF4-FFF2-40B4-BE49-F238E27FC236}">
              <a16:creationId xmlns:a16="http://schemas.microsoft.com/office/drawing/2014/main" id="{13D53D8E-DE5D-4D6A-B75D-C57535D188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5</xdr:col>
      <xdr:colOff>144585</xdr:colOff>
      <xdr:row>0</xdr:row>
      <xdr:rowOff>895351</xdr:rowOff>
    </xdr:to>
    <xdr:pic>
      <xdr:nvPicPr>
        <xdr:cNvPr id="3" name="Picture 2">
          <a:extLst>
            <a:ext uri="{FF2B5EF4-FFF2-40B4-BE49-F238E27FC236}">
              <a16:creationId xmlns:a16="http://schemas.microsoft.com/office/drawing/2014/main" id="{601CBBDD-18E3-473C-8895-08DDB1E400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5</xdr:col>
      <xdr:colOff>296985</xdr:colOff>
      <xdr:row>0</xdr:row>
      <xdr:rowOff>895351</xdr:rowOff>
    </xdr:to>
    <xdr:pic>
      <xdr:nvPicPr>
        <xdr:cNvPr id="3" name="Picture 2">
          <a:extLst>
            <a:ext uri="{FF2B5EF4-FFF2-40B4-BE49-F238E27FC236}">
              <a16:creationId xmlns:a16="http://schemas.microsoft.com/office/drawing/2014/main" id="{0A9AFFC5-D163-4477-B993-97DCF4E524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5</xdr:col>
      <xdr:colOff>135060</xdr:colOff>
      <xdr:row>0</xdr:row>
      <xdr:rowOff>895351</xdr:rowOff>
    </xdr:to>
    <xdr:pic>
      <xdr:nvPicPr>
        <xdr:cNvPr id="3" name="Picture 2">
          <a:extLst>
            <a:ext uri="{FF2B5EF4-FFF2-40B4-BE49-F238E27FC236}">
              <a16:creationId xmlns:a16="http://schemas.microsoft.com/office/drawing/2014/main" id="{98728BA3-1846-4979-9228-474CD4D28D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3</xdr:col>
      <xdr:colOff>293810</xdr:colOff>
      <xdr:row>0</xdr:row>
      <xdr:rowOff>895351</xdr:rowOff>
    </xdr:to>
    <xdr:pic>
      <xdr:nvPicPr>
        <xdr:cNvPr id="3" name="Picture 2">
          <a:extLst>
            <a:ext uri="{FF2B5EF4-FFF2-40B4-BE49-F238E27FC236}">
              <a16:creationId xmlns:a16="http://schemas.microsoft.com/office/drawing/2014/main" id="{8F0563B4-4897-425F-9961-B7E325773C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4</xdr:col>
      <xdr:colOff>27110</xdr:colOff>
      <xdr:row>0</xdr:row>
      <xdr:rowOff>895351</xdr:rowOff>
    </xdr:to>
    <xdr:pic>
      <xdr:nvPicPr>
        <xdr:cNvPr id="3" name="Picture 2">
          <a:extLst>
            <a:ext uri="{FF2B5EF4-FFF2-40B4-BE49-F238E27FC236}">
              <a16:creationId xmlns:a16="http://schemas.microsoft.com/office/drawing/2014/main" id="{89BC4526-E137-4D7A-B838-EBF35B73C5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4</xdr:col>
      <xdr:colOff>249360</xdr:colOff>
      <xdr:row>0</xdr:row>
      <xdr:rowOff>895351</xdr:rowOff>
    </xdr:to>
    <xdr:pic>
      <xdr:nvPicPr>
        <xdr:cNvPr id="3" name="Picture 2">
          <a:extLst>
            <a:ext uri="{FF2B5EF4-FFF2-40B4-BE49-F238E27FC236}">
              <a16:creationId xmlns:a16="http://schemas.microsoft.com/office/drawing/2014/main" id="{CD06AE65-ED73-4D5C-81B3-3637F88287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2</xdr:col>
      <xdr:colOff>2201985</xdr:colOff>
      <xdr:row>0</xdr:row>
      <xdr:rowOff>895351</xdr:rowOff>
    </xdr:to>
    <xdr:pic>
      <xdr:nvPicPr>
        <xdr:cNvPr id="3" name="Picture 2">
          <a:extLst>
            <a:ext uri="{FF2B5EF4-FFF2-40B4-BE49-F238E27FC236}">
              <a16:creationId xmlns:a16="http://schemas.microsoft.com/office/drawing/2014/main" id="{CB6837AE-88E4-455E-9DBF-B090399EC7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5</xdr:col>
      <xdr:colOff>39810</xdr:colOff>
      <xdr:row>0</xdr:row>
      <xdr:rowOff>895351</xdr:rowOff>
    </xdr:to>
    <xdr:pic>
      <xdr:nvPicPr>
        <xdr:cNvPr id="3" name="Picture 2">
          <a:extLst>
            <a:ext uri="{FF2B5EF4-FFF2-40B4-BE49-F238E27FC236}">
              <a16:creationId xmlns:a16="http://schemas.microsoft.com/office/drawing/2014/main" id="{C29313B5-AB5A-48BE-A60E-552668BDBA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2</xdr:col>
      <xdr:colOff>2011485</xdr:colOff>
      <xdr:row>0</xdr:row>
      <xdr:rowOff>895351</xdr:rowOff>
    </xdr:to>
    <xdr:pic>
      <xdr:nvPicPr>
        <xdr:cNvPr id="3" name="Picture 2">
          <a:extLst>
            <a:ext uri="{FF2B5EF4-FFF2-40B4-BE49-F238E27FC236}">
              <a16:creationId xmlns:a16="http://schemas.microsoft.com/office/drawing/2014/main" id="{C17C3F95-239E-4DB0-99BC-F76807F67D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2</xdr:col>
      <xdr:colOff>2198810</xdr:colOff>
      <xdr:row>0</xdr:row>
      <xdr:rowOff>895351</xdr:rowOff>
    </xdr:to>
    <xdr:pic>
      <xdr:nvPicPr>
        <xdr:cNvPr id="3" name="Picture 2">
          <a:extLst>
            <a:ext uri="{FF2B5EF4-FFF2-40B4-BE49-F238E27FC236}">
              <a16:creationId xmlns:a16="http://schemas.microsoft.com/office/drawing/2014/main" id="{C8C0BFB0-1892-48F4-9B1A-C64524F9CB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2402010</xdr:colOff>
      <xdr:row>0</xdr:row>
      <xdr:rowOff>895351</xdr:rowOff>
    </xdr:to>
    <xdr:pic>
      <xdr:nvPicPr>
        <xdr:cNvPr id="3" name="Picture 2">
          <a:extLst>
            <a:ext uri="{FF2B5EF4-FFF2-40B4-BE49-F238E27FC236}">
              <a16:creationId xmlns:a16="http://schemas.microsoft.com/office/drawing/2014/main" id="{A91867E4-9F01-449D-A9AD-EEE3AB8E1D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1992435</xdr:colOff>
      <xdr:row>0</xdr:row>
      <xdr:rowOff>895351</xdr:rowOff>
    </xdr:to>
    <xdr:pic>
      <xdr:nvPicPr>
        <xdr:cNvPr id="3" name="Picture 2">
          <a:extLst>
            <a:ext uri="{FF2B5EF4-FFF2-40B4-BE49-F238E27FC236}">
              <a16:creationId xmlns:a16="http://schemas.microsoft.com/office/drawing/2014/main" id="{6DC91FC6-A00C-4CAF-850A-7BF4F2348C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2</xdr:col>
      <xdr:colOff>2201985</xdr:colOff>
      <xdr:row>0</xdr:row>
      <xdr:rowOff>895351</xdr:rowOff>
    </xdr:to>
    <xdr:pic>
      <xdr:nvPicPr>
        <xdr:cNvPr id="3" name="Picture 2">
          <a:extLst>
            <a:ext uri="{FF2B5EF4-FFF2-40B4-BE49-F238E27FC236}">
              <a16:creationId xmlns:a16="http://schemas.microsoft.com/office/drawing/2014/main" id="{16FC304A-F4AF-4046-8EB6-4226AFEA6D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2</xdr:col>
      <xdr:colOff>2198810</xdr:colOff>
      <xdr:row>0</xdr:row>
      <xdr:rowOff>895351</xdr:rowOff>
    </xdr:to>
    <xdr:pic>
      <xdr:nvPicPr>
        <xdr:cNvPr id="3" name="Picture 2">
          <a:extLst>
            <a:ext uri="{FF2B5EF4-FFF2-40B4-BE49-F238E27FC236}">
              <a16:creationId xmlns:a16="http://schemas.microsoft.com/office/drawing/2014/main" id="{61938F85-05CE-46AE-A1A0-0898F4DA5E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4</xdr:col>
      <xdr:colOff>103310</xdr:colOff>
      <xdr:row>0</xdr:row>
      <xdr:rowOff>895351</xdr:rowOff>
    </xdr:to>
    <xdr:pic>
      <xdr:nvPicPr>
        <xdr:cNvPr id="3" name="Picture 2">
          <a:extLst>
            <a:ext uri="{FF2B5EF4-FFF2-40B4-BE49-F238E27FC236}">
              <a16:creationId xmlns:a16="http://schemas.microsoft.com/office/drawing/2014/main" id="{AAA82779-F812-482B-88AE-E6F0825EC7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5</xdr:col>
      <xdr:colOff>39810</xdr:colOff>
      <xdr:row>0</xdr:row>
      <xdr:rowOff>895351</xdr:rowOff>
    </xdr:to>
    <xdr:pic>
      <xdr:nvPicPr>
        <xdr:cNvPr id="3" name="Picture 2">
          <a:extLst>
            <a:ext uri="{FF2B5EF4-FFF2-40B4-BE49-F238E27FC236}">
              <a16:creationId xmlns:a16="http://schemas.microsoft.com/office/drawing/2014/main" id="{DF6814C4-9D81-4B11-81B2-BCAF06BB81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4</xdr:col>
      <xdr:colOff>465260</xdr:colOff>
      <xdr:row>0</xdr:row>
      <xdr:rowOff>895351</xdr:rowOff>
    </xdr:to>
    <xdr:pic>
      <xdr:nvPicPr>
        <xdr:cNvPr id="3" name="Picture 2">
          <a:extLst>
            <a:ext uri="{FF2B5EF4-FFF2-40B4-BE49-F238E27FC236}">
              <a16:creationId xmlns:a16="http://schemas.microsoft.com/office/drawing/2014/main" id="{9DC55BD2-7027-4A54-B7A5-92750A2F4C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2402010</xdr:colOff>
      <xdr:row>0</xdr:row>
      <xdr:rowOff>895351</xdr:rowOff>
    </xdr:to>
    <xdr:pic>
      <xdr:nvPicPr>
        <xdr:cNvPr id="3" name="Picture 2">
          <a:extLst>
            <a:ext uri="{FF2B5EF4-FFF2-40B4-BE49-F238E27FC236}">
              <a16:creationId xmlns:a16="http://schemas.microsoft.com/office/drawing/2014/main" id="{16A52228-51E5-4FB2-B42C-4CE7AA7C40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4</xdr:col>
      <xdr:colOff>154110</xdr:colOff>
      <xdr:row>0</xdr:row>
      <xdr:rowOff>895351</xdr:rowOff>
    </xdr:to>
    <xdr:pic>
      <xdr:nvPicPr>
        <xdr:cNvPr id="3" name="Picture 2">
          <a:extLst>
            <a:ext uri="{FF2B5EF4-FFF2-40B4-BE49-F238E27FC236}">
              <a16:creationId xmlns:a16="http://schemas.microsoft.com/office/drawing/2014/main" id="{FF131C60-4F4D-47ED-8884-E3D498971F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4</xdr:col>
      <xdr:colOff>20760</xdr:colOff>
      <xdr:row>0</xdr:row>
      <xdr:rowOff>895351</xdr:rowOff>
    </xdr:to>
    <xdr:pic>
      <xdr:nvPicPr>
        <xdr:cNvPr id="3" name="Picture 2">
          <a:extLst>
            <a:ext uri="{FF2B5EF4-FFF2-40B4-BE49-F238E27FC236}">
              <a16:creationId xmlns:a16="http://schemas.microsoft.com/office/drawing/2014/main" id="{CAF8279B-C0EF-430E-B895-DD2E76EE8D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9525"/>
          <a:ext cx="2582985" cy="8858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J:\LandAndForest\ForestLandEconomics\_Data\AFWPS\46%20AFWPS%20-%20May%2025\Summary%20workbooks\Master%20-%20Summary%20AFWPS%20Tables.xlsx" TargetMode="External"/><Relationship Id="rId1" Type="http://schemas.openxmlformats.org/officeDocument/2006/relationships/externalLinkPath" Target="/LandAndForest/ForestLandEconomics/_Data/AFWPS/46%20AFWPS%20-%20May%2025/Summary%20workbooks/Master%20-%20Summary%20AFWPS%20Tab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Overview"/>
      <sheetName val="Native forest"/>
      <sheetName val="Plantation areas"/>
      <sheetName val="Plantation estab"/>
      <sheetName val="Logs harvested"/>
      <sheetName val="GVP logs"/>
      <sheetName val="Vol logs state"/>
      <sheetName val="Val logs state"/>
      <sheetName val="Logs vol type"/>
      <sheetName val="Log price ind"/>
      <sheetName val="Logs cons"/>
      <sheetName val="Production Annual"/>
      <sheetName val="Sawn prod state"/>
      <sheetName val="Ind sales - type"/>
      <sheetName val="Ind sales - state"/>
      <sheetName val="Val add"/>
      <sheetName val="Wages"/>
      <sheetName val="Employ - labour force"/>
      <sheetName val="Employ - census"/>
      <sheetName val="Sel price ind - annual"/>
      <sheetName val="Sel price ind - quarterly"/>
      <sheetName val="App cons - annual"/>
      <sheetName val="Housing - annual"/>
      <sheetName val="Housing - quarterly"/>
      <sheetName val="22 Rec paper"/>
      <sheetName val="24 Imp summ"/>
      <sheetName val="24 Exp summ"/>
      <sheetName val="Employment uplo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8">
          <cell r="AI28">
            <v>48.663308795040685</v>
          </cell>
        </row>
      </sheetData>
      <sheetData sheetId="26"/>
      <sheetData sheetId="27"/>
      <sheetData sheetId="28"/>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A9BB1-54B1-4710-A093-6B3F055908BF}">
  <dimension ref="A1:N13"/>
  <sheetViews>
    <sheetView tabSelected="1" zoomScale="130" zoomScaleNormal="130" workbookViewId="0">
      <selection activeCell="A13" sqref="A13:N13"/>
    </sheetView>
  </sheetViews>
  <sheetFormatPr defaultRowHeight="14.5"/>
  <sheetData>
    <row r="1" spans="1:14" ht="21">
      <c r="A1" s="10" t="s">
        <v>212</v>
      </c>
    </row>
    <row r="2" spans="1:14">
      <c r="A2" s="9"/>
      <c r="B2" s="8"/>
      <c r="C2" s="8"/>
      <c r="D2" s="8"/>
      <c r="E2" s="8"/>
      <c r="F2" s="8"/>
      <c r="G2" s="8"/>
      <c r="H2" s="8"/>
      <c r="I2" s="8"/>
      <c r="J2" s="8"/>
      <c r="K2" s="8"/>
      <c r="L2" s="8"/>
      <c r="M2" s="8"/>
      <c r="N2" s="7"/>
    </row>
    <row r="3" spans="1:14">
      <c r="A3" s="4"/>
      <c r="B3" s="2"/>
      <c r="C3" s="2"/>
      <c r="D3" s="2"/>
      <c r="E3" s="2"/>
      <c r="F3" s="2"/>
      <c r="G3" s="2"/>
      <c r="H3" s="2"/>
      <c r="I3" s="2"/>
      <c r="J3" s="2"/>
      <c r="K3" s="2"/>
      <c r="L3" s="2"/>
      <c r="M3" s="2"/>
      <c r="N3" s="1"/>
    </row>
    <row r="4" spans="1:14">
      <c r="A4" s="4"/>
      <c r="B4" s="2"/>
      <c r="C4" s="2"/>
      <c r="D4" s="2"/>
      <c r="E4" s="2"/>
      <c r="F4" s="2"/>
      <c r="G4" s="2"/>
      <c r="H4" s="2"/>
      <c r="I4" s="2"/>
      <c r="J4" s="2"/>
      <c r="K4" s="2"/>
      <c r="L4" s="2"/>
      <c r="M4" s="2"/>
      <c r="N4" s="1"/>
    </row>
    <row r="5" spans="1:14">
      <c r="A5" s="4"/>
      <c r="B5" s="2"/>
      <c r="C5" s="2"/>
      <c r="D5" s="2"/>
      <c r="E5" s="2"/>
      <c r="F5" s="2"/>
      <c r="G5" s="2"/>
      <c r="H5" s="2"/>
      <c r="I5" s="2"/>
      <c r="J5" s="2"/>
      <c r="K5" s="2"/>
      <c r="L5" s="2"/>
      <c r="M5" s="2"/>
      <c r="N5" s="1"/>
    </row>
    <row r="6" spans="1:14">
      <c r="A6" s="4"/>
      <c r="B6" s="2"/>
      <c r="C6" s="2"/>
      <c r="D6" s="2"/>
      <c r="E6" s="2"/>
      <c r="F6" s="2"/>
      <c r="G6" s="2"/>
      <c r="H6" s="2"/>
      <c r="I6" s="2"/>
      <c r="J6" s="2"/>
      <c r="K6" s="2"/>
      <c r="L6" s="2"/>
      <c r="M6" s="2"/>
      <c r="N6" s="1"/>
    </row>
    <row r="7" spans="1:14" ht="18.5">
      <c r="A7" s="4"/>
      <c r="B7" s="6" t="s">
        <v>1</v>
      </c>
      <c r="C7" s="2"/>
      <c r="D7" s="2"/>
      <c r="E7" s="2"/>
      <c r="F7" s="2"/>
      <c r="G7" s="2"/>
      <c r="H7" s="2"/>
      <c r="I7" s="2"/>
      <c r="J7" s="2"/>
      <c r="K7" s="2"/>
      <c r="L7" s="2"/>
      <c r="M7" s="2"/>
      <c r="N7" s="1"/>
    </row>
    <row r="8" spans="1:14">
      <c r="A8" s="4"/>
      <c r="B8" s="2"/>
      <c r="C8" s="2"/>
      <c r="D8" s="3"/>
      <c r="E8" s="3"/>
      <c r="F8" s="3"/>
      <c r="G8" s="2"/>
      <c r="H8" s="2"/>
      <c r="I8" s="2"/>
      <c r="J8" s="2"/>
      <c r="K8" s="2"/>
      <c r="L8" s="2"/>
      <c r="M8" s="2"/>
      <c r="N8" s="1"/>
    </row>
    <row r="9" spans="1:14">
      <c r="A9" s="4"/>
      <c r="B9" s="2" t="s">
        <v>0</v>
      </c>
      <c r="C9" s="2"/>
      <c r="D9" s="3"/>
      <c r="E9" s="3"/>
      <c r="F9" s="3"/>
      <c r="G9" s="2"/>
      <c r="H9" s="2"/>
      <c r="I9" s="2"/>
      <c r="J9" s="2"/>
      <c r="K9" s="2"/>
      <c r="L9" s="2"/>
      <c r="M9" s="2"/>
      <c r="N9" s="1"/>
    </row>
    <row r="10" spans="1:14">
      <c r="A10" s="4"/>
      <c r="B10" s="5"/>
      <c r="C10" s="2"/>
      <c r="D10" s="3"/>
      <c r="E10" s="3"/>
      <c r="F10" s="3"/>
      <c r="G10" s="2"/>
      <c r="H10" s="2"/>
      <c r="I10" s="2"/>
      <c r="J10" s="2"/>
      <c r="K10" s="2"/>
      <c r="L10" s="2"/>
      <c r="M10" s="2"/>
      <c r="N10" s="1"/>
    </row>
    <row r="11" spans="1:14">
      <c r="A11" s="4"/>
      <c r="B11" s="2"/>
      <c r="C11" s="2"/>
      <c r="D11" s="3"/>
      <c r="E11" s="3"/>
      <c r="F11" s="3"/>
      <c r="G11" s="2"/>
      <c r="H11" s="2"/>
      <c r="I11" s="2"/>
      <c r="J11" s="2"/>
      <c r="K11" s="2"/>
      <c r="L11" s="2"/>
      <c r="M11" s="2"/>
      <c r="N11" s="1"/>
    </row>
    <row r="12" spans="1:14" ht="120" customHeight="1">
      <c r="A12" s="156" t="s">
        <v>424</v>
      </c>
      <c r="B12" s="157"/>
      <c r="C12" s="157"/>
      <c r="D12" s="157"/>
      <c r="E12" s="157"/>
      <c r="F12" s="157"/>
      <c r="G12" s="157"/>
      <c r="H12" s="157"/>
      <c r="I12" s="157"/>
      <c r="J12" s="157"/>
      <c r="K12" s="157"/>
      <c r="L12" s="157"/>
      <c r="M12" s="157"/>
      <c r="N12" s="158"/>
    </row>
    <row r="13" spans="1:14" ht="26.25" customHeight="1">
      <c r="A13" s="159" t="s">
        <v>425</v>
      </c>
      <c r="B13" s="160"/>
      <c r="C13" s="160"/>
      <c r="D13" s="160"/>
      <c r="E13" s="160"/>
      <c r="F13" s="160"/>
      <c r="G13" s="160"/>
      <c r="H13" s="160"/>
      <c r="I13" s="160"/>
      <c r="J13" s="160"/>
      <c r="K13" s="160"/>
      <c r="L13" s="160"/>
      <c r="M13" s="160"/>
      <c r="N13" s="161"/>
    </row>
  </sheetData>
  <mergeCells count="2">
    <mergeCell ref="A12:N12"/>
    <mergeCell ref="A13:N13"/>
  </mergeCells>
  <pageMargins left="0.7" right="0.7" top="0.75" bottom="0.75" header="0.3" footer="0.3"/>
  <pageSetup paperSize="9" orientation="portrait" r:id="rId1"/>
  <headerFooter>
    <oddHeader>&amp;C&amp;"Calibri"&amp;12&amp;KFF0000 OFFICIAL&amp;1#_x000D_</oddHeader>
    <oddFooter>&amp;C_x000D_&amp;1#&amp;"Calibri"&amp;12&amp;KFF0000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1F6AD-CE9C-4DD1-B63F-04F3F7A530BF}">
  <dimension ref="A1:Y63"/>
  <sheetViews>
    <sheetView zoomScale="115" zoomScaleNormal="115" workbookViewId="0">
      <pane xSplit="2" topLeftCell="J1" activePane="topRight" state="frozen"/>
      <selection activeCell="A13" sqref="A13:N13"/>
      <selection pane="topRight" activeCell="X28" sqref="X28"/>
    </sheetView>
  </sheetViews>
  <sheetFormatPr defaultColWidth="9.26953125" defaultRowHeight="14.5"/>
  <cols>
    <col min="1" max="1" width="3" customWidth="1"/>
    <col min="2" max="2" width="24.54296875" bestFit="1" customWidth="1"/>
    <col min="3" max="3" width="7" style="61" bestFit="1" customWidth="1"/>
    <col min="4" max="22" width="7" bestFit="1" customWidth="1"/>
    <col min="23" max="23" width="8.1796875" bestFit="1" customWidth="1"/>
    <col min="24" max="25" width="6.81640625" customWidth="1"/>
    <col min="26" max="26" width="9" customWidth="1"/>
  </cols>
  <sheetData>
    <row r="1" spans="1:25" ht="71.25" customHeight="1">
      <c r="A1" t="s">
        <v>2</v>
      </c>
    </row>
    <row r="2" spans="1:25" ht="21">
      <c r="A2" s="162" t="s">
        <v>39</v>
      </c>
      <c r="B2" s="162"/>
      <c r="C2" s="162"/>
      <c r="D2" s="162"/>
      <c r="E2" s="162"/>
      <c r="F2" s="162"/>
      <c r="G2" s="162"/>
      <c r="H2" s="162"/>
      <c r="I2" s="162"/>
      <c r="J2" s="162"/>
      <c r="K2" s="162"/>
      <c r="L2" s="162"/>
      <c r="M2" s="162"/>
      <c r="N2" s="162"/>
      <c r="O2" s="162"/>
      <c r="P2" s="162"/>
      <c r="Q2" s="162"/>
      <c r="R2" s="162"/>
      <c r="S2" s="162"/>
      <c r="T2" s="162"/>
      <c r="U2" s="162"/>
      <c r="V2" s="162"/>
      <c r="W2" s="162"/>
      <c r="X2" s="162"/>
    </row>
    <row r="3" spans="1:25" s="21" customFormat="1" ht="12">
      <c r="A3" s="64" t="s">
        <v>38</v>
      </c>
      <c r="B3" s="64" t="s">
        <v>38</v>
      </c>
      <c r="C3" s="66" t="s">
        <v>37</v>
      </c>
      <c r="D3" s="64" t="s">
        <v>297</v>
      </c>
      <c r="E3" s="64" t="s">
        <v>298</v>
      </c>
      <c r="F3" s="64" t="s">
        <v>299</v>
      </c>
      <c r="G3" s="64" t="s">
        <v>300</v>
      </c>
      <c r="H3" s="64" t="s">
        <v>281</v>
      </c>
      <c r="I3" s="64" t="s">
        <v>282</v>
      </c>
      <c r="J3" s="64" t="s">
        <v>283</v>
      </c>
      <c r="K3" s="64" t="s">
        <v>284</v>
      </c>
      <c r="L3" s="64" t="s">
        <v>285</v>
      </c>
      <c r="M3" s="64" t="s">
        <v>286</v>
      </c>
      <c r="N3" s="64" t="s">
        <v>287</v>
      </c>
      <c r="O3" s="64" t="s">
        <v>288</v>
      </c>
      <c r="P3" s="64" t="s">
        <v>289</v>
      </c>
      <c r="Q3" s="64" t="s">
        <v>290</v>
      </c>
      <c r="R3" s="64" t="s">
        <v>291</v>
      </c>
      <c r="S3" s="64" t="s">
        <v>292</v>
      </c>
      <c r="T3" s="64" t="s">
        <v>293</v>
      </c>
      <c r="U3" s="64" t="s">
        <v>294</v>
      </c>
      <c r="V3" s="64" t="s">
        <v>295</v>
      </c>
      <c r="W3" s="110" t="s">
        <v>305</v>
      </c>
      <c r="X3" s="110" t="s">
        <v>313</v>
      </c>
      <c r="Y3" s="110" t="s">
        <v>328</v>
      </c>
    </row>
    <row r="4" spans="1:25">
      <c r="A4" s="23" t="s">
        <v>40</v>
      </c>
    </row>
    <row r="5" spans="1:25">
      <c r="B5" s="24" t="s">
        <v>41</v>
      </c>
      <c r="C5" s="60" t="s">
        <v>4</v>
      </c>
      <c r="D5" s="81">
        <v>676</v>
      </c>
      <c r="E5" s="81">
        <v>715.5</v>
      </c>
      <c r="F5" s="81">
        <v>740.2</v>
      </c>
      <c r="G5" s="81">
        <v>807.4</v>
      </c>
      <c r="H5" s="81">
        <v>883.5</v>
      </c>
      <c r="I5" s="81">
        <v>949.5</v>
      </c>
      <c r="J5" s="81">
        <v>990.9</v>
      </c>
      <c r="K5" s="81">
        <v>973</v>
      </c>
      <c r="L5" s="81">
        <v>979.5</v>
      </c>
      <c r="M5" s="81">
        <v>976.7</v>
      </c>
      <c r="N5" s="81">
        <v>976.4</v>
      </c>
      <c r="O5" s="81">
        <v>963.1</v>
      </c>
      <c r="P5" s="81">
        <v>928.3</v>
      </c>
      <c r="Q5" s="81">
        <v>928.3</v>
      </c>
      <c r="R5" s="81">
        <v>908.5</v>
      </c>
      <c r="S5" s="81">
        <v>896</v>
      </c>
      <c r="T5" s="81">
        <v>884</v>
      </c>
      <c r="U5" s="81">
        <v>723.59</v>
      </c>
      <c r="V5" s="81">
        <v>711.01777783014097</v>
      </c>
      <c r="W5" s="81">
        <v>687.62949140601802</v>
      </c>
      <c r="X5" s="81">
        <v>677.61960140601798</v>
      </c>
      <c r="Y5" s="81">
        <v>673.82031140601896</v>
      </c>
    </row>
    <row r="6" spans="1:25">
      <c r="B6" s="24" t="s">
        <v>42</v>
      </c>
      <c r="C6" s="60" t="s">
        <v>4</v>
      </c>
      <c r="D6" s="81">
        <v>988.2</v>
      </c>
      <c r="E6" s="81">
        <v>1000.6</v>
      </c>
      <c r="F6" s="82">
        <v>990</v>
      </c>
      <c r="G6" s="81">
        <v>1001.1</v>
      </c>
      <c r="H6" s="82">
        <v>1010.2</v>
      </c>
      <c r="I6" s="82">
        <v>1013.8</v>
      </c>
      <c r="J6" s="82">
        <v>1020.1</v>
      </c>
      <c r="K6" s="82">
        <v>1023.6</v>
      </c>
      <c r="L6" s="82">
        <v>1024.8</v>
      </c>
      <c r="M6" s="82">
        <v>1023.6</v>
      </c>
      <c r="N6" s="82">
        <v>1023.8</v>
      </c>
      <c r="O6" s="82">
        <v>1024.2</v>
      </c>
      <c r="P6" s="82">
        <v>1035.4000000000001</v>
      </c>
      <c r="Q6" s="82">
        <v>1036.8</v>
      </c>
      <c r="R6" s="82">
        <v>1036.9000000000001</v>
      </c>
      <c r="S6" s="82">
        <v>1037</v>
      </c>
      <c r="T6" s="82">
        <v>1039.7</v>
      </c>
      <c r="U6" s="82">
        <v>1028.0999999999999</v>
      </c>
      <c r="V6" s="82">
        <v>1010.2302749552</v>
      </c>
      <c r="W6" s="82">
        <v>1005.47783791576</v>
      </c>
      <c r="X6" s="82">
        <v>1007.86074364967</v>
      </c>
      <c r="Y6" s="82">
        <v>1009.78274364967</v>
      </c>
    </row>
    <row r="7" spans="1:25">
      <c r="B7" s="11" t="s">
        <v>213</v>
      </c>
      <c r="C7" s="60" t="s">
        <v>4</v>
      </c>
      <c r="D7" s="82">
        <v>1665.7</v>
      </c>
      <c r="E7" s="82">
        <v>1716.2</v>
      </c>
      <c r="F7" s="82">
        <v>1739.4</v>
      </c>
      <c r="G7" s="82">
        <v>1817.8</v>
      </c>
      <c r="H7" s="82">
        <v>1902.9</v>
      </c>
      <c r="I7" s="82">
        <v>1972.5</v>
      </c>
      <c r="J7" s="82">
        <v>2020.2</v>
      </c>
      <c r="K7" s="82">
        <v>2008.9</v>
      </c>
      <c r="L7" s="82">
        <v>2016.6</v>
      </c>
      <c r="M7" s="82">
        <v>2012.6</v>
      </c>
      <c r="N7" s="82">
        <v>2012.5</v>
      </c>
      <c r="O7" s="82">
        <v>1999.7</v>
      </c>
      <c r="P7" s="82">
        <v>1973.4</v>
      </c>
      <c r="Q7" s="82">
        <v>1974.8</v>
      </c>
      <c r="R7" s="82">
        <v>1955.1</v>
      </c>
      <c r="S7" s="82">
        <v>1942.7</v>
      </c>
      <c r="T7" s="82">
        <v>1933.4</v>
      </c>
      <c r="U7" s="82">
        <v>1774.67</v>
      </c>
      <c r="V7" s="82">
        <v>1744.17805278534</v>
      </c>
      <c r="W7" s="82">
        <v>1716.0373293217799</v>
      </c>
      <c r="X7" s="82">
        <v>1708.41034505569</v>
      </c>
      <c r="Y7" s="82">
        <v>1706.94975505569</v>
      </c>
    </row>
    <row r="8" spans="1:25">
      <c r="A8" t="s">
        <v>2</v>
      </c>
      <c r="D8" s="72"/>
      <c r="E8" s="72"/>
      <c r="F8" s="72"/>
      <c r="G8" s="72"/>
      <c r="H8" s="72"/>
      <c r="I8" s="72"/>
      <c r="J8" s="72"/>
      <c r="K8" s="72"/>
      <c r="L8" s="72"/>
      <c r="M8" s="72"/>
      <c r="N8" s="72"/>
      <c r="O8" s="72"/>
      <c r="P8" s="72"/>
      <c r="Q8" s="72"/>
      <c r="R8" s="72"/>
      <c r="S8" s="72"/>
      <c r="T8" s="72"/>
      <c r="U8" s="72"/>
      <c r="V8" s="72"/>
      <c r="W8" s="72"/>
      <c r="X8" s="72"/>
      <c r="Y8" s="72"/>
    </row>
    <row r="9" spans="1:25">
      <c r="A9" s="23" t="s">
        <v>44</v>
      </c>
      <c r="D9" s="72"/>
      <c r="E9" s="72"/>
      <c r="F9" s="72"/>
      <c r="G9" s="72"/>
      <c r="H9" s="72"/>
      <c r="I9" s="72"/>
      <c r="J9" s="72"/>
      <c r="K9" s="72"/>
      <c r="L9" s="72"/>
      <c r="M9" s="72"/>
      <c r="N9" s="72"/>
      <c r="O9" s="72"/>
      <c r="P9" s="72"/>
      <c r="Q9" s="72"/>
      <c r="R9" s="72"/>
      <c r="S9" s="72"/>
      <c r="T9" s="72"/>
      <c r="U9" s="72"/>
      <c r="V9" s="72"/>
      <c r="W9" s="72"/>
      <c r="X9" s="72"/>
      <c r="Y9" s="72"/>
    </row>
    <row r="10" spans="1:25">
      <c r="B10" s="24" t="s">
        <v>41</v>
      </c>
      <c r="C10" s="60" t="s">
        <v>4</v>
      </c>
      <c r="D10" s="81">
        <v>31.4</v>
      </c>
      <c r="E10" s="81">
        <v>46.3</v>
      </c>
      <c r="F10" s="81">
        <v>65.599999999999994</v>
      </c>
      <c r="G10" s="81">
        <v>67.3</v>
      </c>
      <c r="H10" s="81">
        <v>76.099999999999994</v>
      </c>
      <c r="I10" s="81">
        <v>66</v>
      </c>
      <c r="J10" s="81">
        <v>43.2</v>
      </c>
      <c r="K10" s="81">
        <v>20.8</v>
      </c>
      <c r="L10" s="81">
        <v>7.9</v>
      </c>
      <c r="M10" s="81">
        <v>3.6</v>
      </c>
      <c r="N10" s="81">
        <v>2</v>
      </c>
      <c r="O10" s="81">
        <v>1.3</v>
      </c>
      <c r="P10" s="81">
        <v>0.5</v>
      </c>
      <c r="Q10" s="81">
        <v>0</v>
      </c>
      <c r="R10" s="81">
        <v>0.1</v>
      </c>
      <c r="S10" s="81">
        <v>1.5</v>
      </c>
      <c r="T10" s="81">
        <v>0.1</v>
      </c>
      <c r="U10" s="81">
        <v>0.3</v>
      </c>
      <c r="V10" s="81">
        <v>0.43386999999999998</v>
      </c>
      <c r="W10" s="81">
        <v>1.181</v>
      </c>
      <c r="X10" s="81">
        <v>0.68886999999999998</v>
      </c>
      <c r="Y10" s="81">
        <v>0.222</v>
      </c>
    </row>
    <row r="11" spans="1:25">
      <c r="B11" s="24" t="s">
        <v>42</v>
      </c>
      <c r="C11" s="60" t="s">
        <v>4</v>
      </c>
      <c r="D11" s="81">
        <v>10.9</v>
      </c>
      <c r="E11" s="81">
        <v>7.3</v>
      </c>
      <c r="F11" s="81">
        <v>6.5</v>
      </c>
      <c r="G11" s="81">
        <v>11.1</v>
      </c>
      <c r="H11" s="81">
        <v>10.5</v>
      </c>
      <c r="I11" s="81">
        <v>6.3</v>
      </c>
      <c r="J11" s="81">
        <v>6.4</v>
      </c>
      <c r="K11" s="81">
        <v>2.7</v>
      </c>
      <c r="L11" s="81">
        <v>1.7</v>
      </c>
      <c r="M11" s="81">
        <v>0.7</v>
      </c>
      <c r="N11" s="81">
        <v>0.3</v>
      </c>
      <c r="O11" s="81">
        <v>0.3</v>
      </c>
      <c r="P11" s="81">
        <v>0.4</v>
      </c>
      <c r="Q11" s="81">
        <v>1.6</v>
      </c>
      <c r="R11" s="81">
        <v>0.6</v>
      </c>
      <c r="S11" s="81">
        <v>1.7</v>
      </c>
      <c r="T11" s="81">
        <v>2.8</v>
      </c>
      <c r="U11" s="81">
        <v>1.2</v>
      </c>
      <c r="V11" s="81">
        <v>1.07927</v>
      </c>
      <c r="W11" s="81">
        <v>1.1194599999999999</v>
      </c>
      <c r="X11" s="81">
        <v>3.7995857339095802</v>
      </c>
      <c r="Y11" s="81">
        <v>3.5066999999999999</v>
      </c>
    </row>
    <row r="12" spans="1:25">
      <c r="B12" s="11" t="s">
        <v>213</v>
      </c>
      <c r="C12" s="60" t="s">
        <v>4</v>
      </c>
      <c r="D12" s="81">
        <v>42.3</v>
      </c>
      <c r="E12" s="81">
        <v>53.6</v>
      </c>
      <c r="F12" s="81">
        <v>72</v>
      </c>
      <c r="G12" s="81">
        <v>78.400000000000006</v>
      </c>
      <c r="H12" s="81">
        <v>86.6</v>
      </c>
      <c r="I12" s="81">
        <v>72.3</v>
      </c>
      <c r="J12" s="81">
        <v>49.7</v>
      </c>
      <c r="K12" s="81">
        <v>23.5</v>
      </c>
      <c r="L12" s="81">
        <v>9.6</v>
      </c>
      <c r="M12" s="81">
        <v>4.2</v>
      </c>
      <c r="N12" s="81">
        <v>2.2999999999999998</v>
      </c>
      <c r="O12" s="81">
        <v>1.6</v>
      </c>
      <c r="P12" s="81">
        <v>0.9</v>
      </c>
      <c r="Q12" s="81">
        <v>1.6</v>
      </c>
      <c r="R12" s="81">
        <v>0.7</v>
      </c>
      <c r="S12" s="81">
        <v>3.1</v>
      </c>
      <c r="T12" s="81">
        <v>2.8</v>
      </c>
      <c r="U12" s="81">
        <v>1.5</v>
      </c>
      <c r="V12" s="81">
        <v>1.5131399999999999</v>
      </c>
      <c r="W12" s="81">
        <v>2.3004600000000002</v>
      </c>
      <c r="X12" s="81">
        <v>4.4884557339095803</v>
      </c>
      <c r="Y12" s="81">
        <v>3.7286999999999999</v>
      </c>
    </row>
    <row r="13" spans="1:25">
      <c r="A13" t="s">
        <v>2</v>
      </c>
      <c r="D13" s="72"/>
      <c r="E13" s="72"/>
      <c r="F13" s="72"/>
      <c r="G13" s="72"/>
      <c r="H13" s="72"/>
      <c r="I13" s="72"/>
      <c r="J13" s="72"/>
      <c r="K13" s="72"/>
      <c r="L13" s="72"/>
      <c r="M13" s="72"/>
      <c r="N13" s="72"/>
      <c r="O13" s="72"/>
      <c r="P13" s="72"/>
      <c r="Q13" s="72"/>
      <c r="R13" s="72"/>
      <c r="S13" s="72"/>
      <c r="T13" s="72"/>
      <c r="U13" s="72"/>
      <c r="V13" s="72"/>
      <c r="W13" s="72"/>
      <c r="X13" s="72"/>
      <c r="Y13" s="72"/>
    </row>
    <row r="14" spans="1:25">
      <c r="A14" s="23" t="s">
        <v>45</v>
      </c>
      <c r="D14" s="72"/>
      <c r="E14" s="72"/>
      <c r="F14" s="72"/>
      <c r="G14" s="72"/>
      <c r="H14" s="72"/>
      <c r="I14" s="72"/>
      <c r="J14" s="72"/>
      <c r="K14" s="72"/>
      <c r="L14" s="72"/>
      <c r="M14" s="72"/>
      <c r="N14" s="72"/>
      <c r="O14" s="72"/>
      <c r="P14" s="72"/>
      <c r="Q14" s="72"/>
      <c r="R14" s="72"/>
      <c r="S14" s="72"/>
      <c r="T14" s="72"/>
      <c r="U14" s="72"/>
      <c r="V14" s="72"/>
      <c r="W14" s="72"/>
      <c r="X14" s="72"/>
      <c r="Y14" s="72"/>
    </row>
    <row r="15" spans="1:25">
      <c r="B15" s="11" t="s">
        <v>351</v>
      </c>
      <c r="C15" s="58" t="s">
        <v>269</v>
      </c>
      <c r="D15" s="82">
        <v>10314.045925911199</v>
      </c>
      <c r="E15" s="82">
        <v>10090.293799052301</v>
      </c>
      <c r="F15" s="82">
        <v>9866.4120977737894</v>
      </c>
      <c r="G15" s="82">
        <v>8575.4245070607594</v>
      </c>
      <c r="H15" s="82">
        <v>8550.6423972672492</v>
      </c>
      <c r="I15" s="82">
        <v>8940.1683437351003</v>
      </c>
      <c r="J15" s="82">
        <v>7738.6806597150298</v>
      </c>
      <c r="K15" s="82">
        <v>6589.0221172552501</v>
      </c>
      <c r="L15" s="82">
        <v>6326.3068192915198</v>
      </c>
      <c r="M15" s="82">
        <v>4482.3866606915199</v>
      </c>
      <c r="N15" s="82">
        <v>3747.8835079999999</v>
      </c>
      <c r="O15" s="82">
        <v>3930.0245319503501</v>
      </c>
      <c r="P15" s="82">
        <v>3899.7105794469899</v>
      </c>
      <c r="Q15" s="82">
        <v>3958.0886049178998</v>
      </c>
      <c r="R15" s="82">
        <v>4155.0423827000004</v>
      </c>
      <c r="S15" s="82">
        <v>4093.0584985825299</v>
      </c>
      <c r="T15" s="82">
        <v>3868.1808850989</v>
      </c>
      <c r="U15" s="82">
        <v>3546.0598018655801</v>
      </c>
      <c r="V15" s="82">
        <v>3327.6216911894198</v>
      </c>
      <c r="W15" s="82">
        <v>3356.6626275675699</v>
      </c>
      <c r="X15" s="82">
        <v>2408.98490543253</v>
      </c>
      <c r="Y15" s="81">
        <v>2380.4322132806601</v>
      </c>
    </row>
    <row r="16" spans="1:25">
      <c r="B16" s="11" t="s">
        <v>352</v>
      </c>
      <c r="C16" s="58" t="s">
        <v>269</v>
      </c>
      <c r="D16" s="82">
        <v>1594.2266500000001</v>
      </c>
      <c r="E16" s="82">
        <v>1819.0235666666699</v>
      </c>
      <c r="F16" s="82">
        <v>2936.413</v>
      </c>
      <c r="G16" s="82">
        <v>3779.33</v>
      </c>
      <c r="H16" s="82">
        <v>4051.77506900341</v>
      </c>
      <c r="I16" s="82">
        <v>4270.4210000000003</v>
      </c>
      <c r="J16" s="82">
        <v>4746.4350000000004</v>
      </c>
      <c r="K16" s="82">
        <v>4555.160742</v>
      </c>
      <c r="L16" s="82">
        <v>5224.2122490000002</v>
      </c>
      <c r="M16" s="82">
        <v>5065.8326489999999</v>
      </c>
      <c r="N16" s="82">
        <v>5505.6189042779297</v>
      </c>
      <c r="O16" s="82">
        <v>6969.1873872685701</v>
      </c>
      <c r="P16" s="82">
        <v>8461.1909173580807</v>
      </c>
      <c r="Q16" s="82">
        <v>9778.8814297761292</v>
      </c>
      <c r="R16" s="82">
        <v>11362.16956878</v>
      </c>
      <c r="S16" s="82">
        <v>11266.2374239</v>
      </c>
      <c r="T16" s="82">
        <v>11589.593758000001</v>
      </c>
      <c r="U16" s="82">
        <v>8343.1887139868995</v>
      </c>
      <c r="V16" s="82">
        <v>7003.7970307215201</v>
      </c>
      <c r="W16" s="82">
        <v>7702.4451410347801</v>
      </c>
      <c r="X16" s="82">
        <v>8485.9440050105804</v>
      </c>
      <c r="Y16" s="81">
        <v>7133.34858430655</v>
      </c>
    </row>
    <row r="17" spans="1:25">
      <c r="B17" s="11" t="s">
        <v>353</v>
      </c>
      <c r="C17" s="58" t="s">
        <v>269</v>
      </c>
      <c r="D17" s="82">
        <v>11908.2725759112</v>
      </c>
      <c r="E17" s="82">
        <v>11909.3173657189</v>
      </c>
      <c r="F17" s="82">
        <v>12802.825097773801</v>
      </c>
      <c r="G17" s="82">
        <v>12354.754507060799</v>
      </c>
      <c r="H17" s="82">
        <v>12602.417466270699</v>
      </c>
      <c r="I17" s="82">
        <v>13210.589343735101</v>
      </c>
      <c r="J17" s="82">
        <v>12485.115659715</v>
      </c>
      <c r="K17" s="82">
        <v>11144.182859255299</v>
      </c>
      <c r="L17" s="82">
        <v>11550.5190682915</v>
      </c>
      <c r="M17" s="82">
        <v>9548.2193096915198</v>
      </c>
      <c r="N17" s="82">
        <v>9253.5024122779305</v>
      </c>
      <c r="O17" s="82">
        <v>10899.2119192189</v>
      </c>
      <c r="P17" s="82">
        <v>12360.9014968051</v>
      </c>
      <c r="Q17" s="82">
        <v>13736.970034694001</v>
      </c>
      <c r="R17" s="82">
        <v>15517.21195148</v>
      </c>
      <c r="S17" s="82">
        <v>15359.295922482501</v>
      </c>
      <c r="T17" s="82">
        <v>15457.774643098899</v>
      </c>
      <c r="U17" s="82">
        <v>11889.2485158525</v>
      </c>
      <c r="V17" s="82">
        <v>10331.418721910901</v>
      </c>
      <c r="W17" s="82">
        <v>11059.1077686024</v>
      </c>
      <c r="X17" s="82">
        <v>10894.928910443101</v>
      </c>
      <c r="Y17" s="81">
        <v>9513.7807975872092</v>
      </c>
    </row>
    <row r="18" spans="1:25">
      <c r="B18" s="11" t="s">
        <v>42</v>
      </c>
      <c r="C18" s="58" t="s">
        <v>269</v>
      </c>
      <c r="D18" s="82">
        <v>13910.753220000001</v>
      </c>
      <c r="E18" s="82">
        <v>14588.642777503699</v>
      </c>
      <c r="F18" s="82">
        <v>14195.532779123299</v>
      </c>
      <c r="G18" s="82">
        <v>14379.4010706301</v>
      </c>
      <c r="H18" s="82">
        <v>14589.5885867815</v>
      </c>
      <c r="I18" s="82">
        <v>15157.1684981297</v>
      </c>
      <c r="J18" s="82">
        <v>13313.687670109501</v>
      </c>
      <c r="K18" s="82">
        <v>14418.4963941644</v>
      </c>
      <c r="L18" s="82">
        <v>14981.0727118541</v>
      </c>
      <c r="M18" s="82">
        <v>13948.6608954851</v>
      </c>
      <c r="N18" s="82">
        <v>13618.2836333501</v>
      </c>
      <c r="O18" s="82">
        <v>14366.84397036</v>
      </c>
      <c r="P18" s="82">
        <v>14929.0625027765</v>
      </c>
      <c r="Q18" s="82">
        <v>16346.0479855126</v>
      </c>
      <c r="R18" s="82">
        <v>17688.970249761798</v>
      </c>
      <c r="S18" s="82">
        <v>17580.0081394689</v>
      </c>
      <c r="T18" s="82">
        <v>17141.698521194601</v>
      </c>
      <c r="U18" s="82">
        <v>17591.857116803101</v>
      </c>
      <c r="V18" s="82">
        <v>16765.7355595437</v>
      </c>
      <c r="W18" s="82">
        <v>14924.175019187</v>
      </c>
      <c r="X18" s="82">
        <v>13953.4501098542</v>
      </c>
      <c r="Y18" s="81">
        <v>13855.309836780199</v>
      </c>
    </row>
    <row r="19" spans="1:25">
      <c r="B19" s="11" t="s">
        <v>354</v>
      </c>
      <c r="C19" s="58" t="s">
        <v>269</v>
      </c>
      <c r="D19" s="82">
        <v>25819.025795911199</v>
      </c>
      <c r="E19" s="82">
        <v>26497.960143222601</v>
      </c>
      <c r="F19" s="82">
        <v>26998.357876897098</v>
      </c>
      <c r="G19" s="82">
        <v>26734.155577690901</v>
      </c>
      <c r="H19" s="82">
        <v>27192.006053052199</v>
      </c>
      <c r="I19" s="82">
        <v>28367.757841864801</v>
      </c>
      <c r="J19" s="82">
        <v>25798.803329824499</v>
      </c>
      <c r="K19" s="82">
        <v>25562.679253419701</v>
      </c>
      <c r="L19" s="82">
        <v>26531.591780145602</v>
      </c>
      <c r="M19" s="82">
        <v>23496.8802051766</v>
      </c>
      <c r="N19" s="82">
        <v>22871.786045628</v>
      </c>
      <c r="O19" s="82">
        <v>25266.0558895789</v>
      </c>
      <c r="P19" s="82">
        <v>27289.9639995816</v>
      </c>
      <c r="Q19" s="82">
        <v>30083.0180202066</v>
      </c>
      <c r="R19" s="82">
        <v>33206.182201241798</v>
      </c>
      <c r="S19" s="82">
        <v>32939.304061951399</v>
      </c>
      <c r="T19" s="82">
        <v>32599.4731642935</v>
      </c>
      <c r="U19" s="82">
        <v>29481.105632655599</v>
      </c>
      <c r="V19" s="82">
        <v>27097.154281454601</v>
      </c>
      <c r="W19" s="82">
        <v>25983.282787789401</v>
      </c>
      <c r="X19" s="82">
        <v>24848.3790202973</v>
      </c>
      <c r="Y19" s="81">
        <v>23369.0906343674</v>
      </c>
    </row>
    <row r="20" spans="1:25">
      <c r="A20" t="s">
        <v>2</v>
      </c>
      <c r="B20" s="24"/>
      <c r="D20" s="72"/>
      <c r="E20" s="72"/>
      <c r="F20" s="72"/>
      <c r="G20" s="72"/>
      <c r="H20" s="72"/>
      <c r="I20" s="72"/>
      <c r="J20" s="72"/>
      <c r="K20" s="72"/>
      <c r="L20" s="72"/>
      <c r="M20" s="72"/>
      <c r="N20" s="72"/>
      <c r="O20" s="72"/>
      <c r="P20" s="72"/>
      <c r="Q20" s="72"/>
      <c r="R20" s="72"/>
      <c r="S20" s="72"/>
      <c r="T20" s="72"/>
      <c r="U20" s="72"/>
      <c r="V20" s="72"/>
      <c r="W20" s="72"/>
      <c r="X20" s="72"/>
      <c r="Y20" s="72"/>
    </row>
    <row r="21" spans="1:25">
      <c r="A21" s="23" t="s">
        <v>46</v>
      </c>
      <c r="B21" s="24"/>
      <c r="D21" s="72"/>
      <c r="E21" s="72"/>
      <c r="F21" s="72"/>
      <c r="G21" s="72"/>
      <c r="H21" s="72"/>
      <c r="I21" s="72"/>
      <c r="J21" s="72"/>
      <c r="K21" s="72"/>
      <c r="L21" s="72"/>
      <c r="M21" s="72"/>
      <c r="N21" s="72"/>
      <c r="O21" s="72"/>
      <c r="P21" s="72"/>
      <c r="Q21" s="72"/>
      <c r="R21" s="72"/>
      <c r="S21" s="72"/>
      <c r="T21" s="72"/>
      <c r="U21" s="72"/>
      <c r="V21" s="72"/>
      <c r="W21" s="72"/>
      <c r="X21" s="72"/>
      <c r="Y21" s="72"/>
    </row>
    <row r="22" spans="1:25">
      <c r="B22" s="11" t="s">
        <v>355</v>
      </c>
      <c r="C22" s="60" t="s">
        <v>47</v>
      </c>
      <c r="D22" s="81">
        <v>698.40622775315899</v>
      </c>
      <c r="E22" s="81">
        <v>732.02707195986602</v>
      </c>
      <c r="F22" s="81">
        <v>811.35070463538102</v>
      </c>
      <c r="G22" s="81">
        <v>825.52459322783295</v>
      </c>
      <c r="H22" s="81">
        <v>843.23036951283302</v>
      </c>
      <c r="I22" s="81">
        <v>946.71858892196099</v>
      </c>
      <c r="J22" s="81">
        <v>936.30364167272205</v>
      </c>
      <c r="K22" s="81">
        <v>855.78063478129695</v>
      </c>
      <c r="L22" s="81">
        <v>896.352347255994</v>
      </c>
      <c r="M22" s="81">
        <v>744.94461489706805</v>
      </c>
      <c r="N22" s="81">
        <v>695.15103513857605</v>
      </c>
      <c r="O22" s="81">
        <v>822.02932494272</v>
      </c>
      <c r="P22" s="81">
        <v>961.38278248402401</v>
      </c>
      <c r="Q22" s="81">
        <v>1076.32467154346</v>
      </c>
      <c r="R22" s="82">
        <v>1198.3374432179</v>
      </c>
      <c r="S22" s="82">
        <v>1237.3905317364699</v>
      </c>
      <c r="T22" s="82">
        <v>1351.9065253042099</v>
      </c>
      <c r="U22" s="82">
        <v>1147.6670054344299</v>
      </c>
      <c r="V22" s="82">
        <v>957.99573690662896</v>
      </c>
      <c r="W22" s="82">
        <v>1058.2786212362801</v>
      </c>
      <c r="X22" s="82">
        <v>1055.2329630244101</v>
      </c>
      <c r="Y22" s="81">
        <v>912.12703734144895</v>
      </c>
    </row>
    <row r="23" spans="1:25">
      <c r="B23" s="11" t="s">
        <v>42</v>
      </c>
      <c r="C23" s="60" t="s">
        <v>47</v>
      </c>
      <c r="D23" s="81">
        <v>777.43841004619605</v>
      </c>
      <c r="E23" s="81">
        <v>839.319663299225</v>
      </c>
      <c r="F23" s="81">
        <v>842.91606051682299</v>
      </c>
      <c r="G23" s="81">
        <v>847.59824008787496</v>
      </c>
      <c r="H23" s="81">
        <v>869.95456286146498</v>
      </c>
      <c r="I23" s="81">
        <v>893.58785104292997</v>
      </c>
      <c r="J23" s="81">
        <v>826.94948728490397</v>
      </c>
      <c r="K23" s="81">
        <v>922.85600378804804</v>
      </c>
      <c r="L23" s="81">
        <v>959.34561893335797</v>
      </c>
      <c r="M23" s="81">
        <v>878.63269038133399</v>
      </c>
      <c r="N23" s="81">
        <v>838.87316871245196</v>
      </c>
      <c r="O23" s="81">
        <v>1018.40624558089</v>
      </c>
      <c r="P23" s="82">
        <v>1063.87883869232</v>
      </c>
      <c r="Q23" s="82">
        <v>1193.7200725205601</v>
      </c>
      <c r="R23" s="82">
        <v>1372.57966439796</v>
      </c>
      <c r="S23" s="82">
        <v>1430.42370699258</v>
      </c>
      <c r="T23" s="82">
        <v>1405.43802556269</v>
      </c>
      <c r="U23" s="82">
        <v>1411.57368704546</v>
      </c>
      <c r="V23" s="82">
        <v>1257.54339758627</v>
      </c>
      <c r="W23" s="82">
        <v>1227.12645613876</v>
      </c>
      <c r="X23" s="82">
        <v>1356.3278133623101</v>
      </c>
      <c r="Y23" s="81">
        <v>1371.92011501355</v>
      </c>
    </row>
    <row r="24" spans="1:25">
      <c r="B24" s="11" t="s">
        <v>230</v>
      </c>
      <c r="C24" s="60" t="s">
        <v>47</v>
      </c>
      <c r="D24" s="82">
        <v>1475.84463779935</v>
      </c>
      <c r="E24" s="82">
        <v>1571.3467352590901</v>
      </c>
      <c r="F24" s="82">
        <v>1654.2667651521999</v>
      </c>
      <c r="G24" s="82">
        <v>1673.1228333157101</v>
      </c>
      <c r="H24" s="82">
        <v>1713.1849323742999</v>
      </c>
      <c r="I24" s="82">
        <v>1840.3064399648899</v>
      </c>
      <c r="J24" s="82">
        <v>1763.25312895763</v>
      </c>
      <c r="K24" s="82">
        <v>1778.63663856934</v>
      </c>
      <c r="L24" s="82">
        <v>1855.6979661893499</v>
      </c>
      <c r="M24" s="82">
        <v>1623.5773052784</v>
      </c>
      <c r="N24" s="82">
        <v>1534.0242038510301</v>
      </c>
      <c r="O24" s="82">
        <v>1840.4355705236101</v>
      </c>
      <c r="P24" s="82">
        <v>2025.26162117634</v>
      </c>
      <c r="Q24" s="82">
        <v>2270.0447440640201</v>
      </c>
      <c r="R24" s="82">
        <v>2570.91710761586</v>
      </c>
      <c r="S24" s="82">
        <v>2667.81423872905</v>
      </c>
      <c r="T24" s="82">
        <v>2757.3445508669001</v>
      </c>
      <c r="U24" s="82">
        <v>2559.2406924798902</v>
      </c>
      <c r="V24" s="82">
        <v>2215.5391344928998</v>
      </c>
      <c r="W24" s="82">
        <v>2285.40507737504</v>
      </c>
      <c r="X24" s="82">
        <v>2411.5607763867301</v>
      </c>
      <c r="Y24" s="81">
        <v>2284.047152355</v>
      </c>
    </row>
    <row r="25" spans="1:25">
      <c r="A25" t="s">
        <v>2</v>
      </c>
      <c r="D25" s="72"/>
      <c r="E25" s="72"/>
      <c r="F25" s="72"/>
      <c r="G25" s="72"/>
      <c r="H25" s="72"/>
      <c r="I25" s="72"/>
      <c r="J25" s="72"/>
      <c r="K25" s="72"/>
      <c r="L25" s="72"/>
      <c r="M25" s="72"/>
      <c r="N25" s="72"/>
      <c r="O25" s="72"/>
      <c r="P25" s="72"/>
      <c r="Q25" s="72"/>
      <c r="R25" s="72"/>
      <c r="S25" s="72"/>
      <c r="T25" s="80"/>
      <c r="U25" s="80"/>
      <c r="V25" s="80"/>
      <c r="W25" s="80"/>
      <c r="X25" s="80"/>
      <c r="Y25" s="80"/>
    </row>
    <row r="26" spans="1:25">
      <c r="A26" s="23" t="s">
        <v>48</v>
      </c>
      <c r="D26" s="72"/>
      <c r="E26" s="72"/>
      <c r="F26" s="72"/>
      <c r="G26" s="72"/>
      <c r="H26" s="72"/>
      <c r="I26" s="72"/>
      <c r="J26" s="72"/>
      <c r="K26" s="72"/>
      <c r="L26" s="72"/>
      <c r="M26" s="72"/>
      <c r="N26" s="72"/>
      <c r="O26" s="72"/>
      <c r="P26" s="72"/>
      <c r="Q26" s="72"/>
      <c r="R26" s="72"/>
      <c r="S26" s="72"/>
      <c r="T26" s="72"/>
      <c r="U26" s="72"/>
      <c r="V26" s="72"/>
      <c r="W26" s="72"/>
      <c r="X26" s="72"/>
      <c r="Y26" s="72"/>
    </row>
    <row r="27" spans="1:25">
      <c r="B27" s="11" t="s">
        <v>356</v>
      </c>
      <c r="C27" s="58" t="s">
        <v>269</v>
      </c>
      <c r="D27" s="82">
        <v>4667.7657123999998</v>
      </c>
      <c r="E27" s="82">
        <v>4988.7647135999996</v>
      </c>
      <c r="F27" s="82">
        <v>4940.0992939999996</v>
      </c>
      <c r="G27" s="82">
        <v>5031.9191493600001</v>
      </c>
      <c r="H27" s="82">
        <v>5163.2713485000004</v>
      </c>
      <c r="I27" s="82">
        <v>5372</v>
      </c>
      <c r="J27" s="82">
        <v>5004.9943958977601</v>
      </c>
      <c r="K27" s="82">
        <v>5465.9083706092397</v>
      </c>
      <c r="L27" s="82">
        <v>4556.4422427913896</v>
      </c>
      <c r="M27" s="82">
        <v>4391.7286989348404</v>
      </c>
      <c r="N27" s="82">
        <v>4593.1988260845501</v>
      </c>
      <c r="O27" s="82">
        <v>4758.4820910483604</v>
      </c>
      <c r="P27" s="82">
        <v>4810.2999607082302</v>
      </c>
      <c r="Q27" s="82">
        <v>4725.2780526656898</v>
      </c>
      <c r="R27" s="82">
        <v>4772.8638899183998</v>
      </c>
      <c r="S27" s="82">
        <v>4702.1463151624203</v>
      </c>
      <c r="T27" s="82">
        <v>4507.1830217548004</v>
      </c>
      <c r="U27" s="82">
        <v>4376.6820052133098</v>
      </c>
      <c r="V27" s="82">
        <v>4528.81742470472</v>
      </c>
      <c r="W27" s="82">
        <v>4320.8832688312496</v>
      </c>
      <c r="X27" s="82">
        <v>4008.19769219213</v>
      </c>
      <c r="Y27" s="82">
        <v>3760.68283809698</v>
      </c>
    </row>
    <row r="28" spans="1:25">
      <c r="B28" s="11" t="s">
        <v>358</v>
      </c>
      <c r="C28" s="58" t="s">
        <v>269</v>
      </c>
      <c r="D28" s="82">
        <v>2030.2881550000002</v>
      </c>
      <c r="E28" s="82">
        <v>1988.7223180000001</v>
      </c>
      <c r="F28" s="82">
        <v>1893.9795179999999</v>
      </c>
      <c r="G28" s="82">
        <v>1944.4961600000001</v>
      </c>
      <c r="H28" s="82">
        <v>1742.9956870000001</v>
      </c>
      <c r="I28" s="82">
        <v>1800.3232350000001</v>
      </c>
      <c r="J28" s="82">
        <v>1660.9843219999998</v>
      </c>
      <c r="K28" s="82">
        <v>1606.135751</v>
      </c>
      <c r="L28" s="82">
        <v>1731.3050072000001</v>
      </c>
      <c r="M28" s="82">
        <v>1491.9316583999998</v>
      </c>
      <c r="N28" s="82">
        <v>1425.07428</v>
      </c>
      <c r="O28" s="82">
        <v>1475.0765272000001</v>
      </c>
      <c r="P28" s="82">
        <v>1584.27305</v>
      </c>
      <c r="Q28" s="82">
        <v>1699.0808300000001</v>
      </c>
      <c r="R28" s="82">
        <v>1711.5771199999999</v>
      </c>
      <c r="S28" s="82" t="s">
        <v>211</v>
      </c>
      <c r="T28" s="82" t="s">
        <v>211</v>
      </c>
      <c r="U28" s="82" t="s">
        <v>211</v>
      </c>
      <c r="V28" s="82" t="s">
        <v>211</v>
      </c>
      <c r="W28" s="82">
        <v>2004</v>
      </c>
      <c r="X28" s="82" t="s">
        <v>211</v>
      </c>
      <c r="Y28" s="81" t="s">
        <v>211</v>
      </c>
    </row>
    <row r="29" spans="1:25">
      <c r="B29" s="24" t="s">
        <v>51</v>
      </c>
      <c r="C29" s="60" t="s">
        <v>52</v>
      </c>
      <c r="D29" s="82">
        <v>3061</v>
      </c>
      <c r="E29" s="82">
        <v>3164</v>
      </c>
      <c r="F29" s="82">
        <v>3244</v>
      </c>
      <c r="G29" s="82">
        <v>3207</v>
      </c>
      <c r="H29" s="82">
        <v>3201</v>
      </c>
      <c r="I29" s="82">
        <v>3278</v>
      </c>
      <c r="J29" s="82">
        <v>3275</v>
      </c>
      <c r="K29" s="82">
        <v>3013.3319999999999</v>
      </c>
      <c r="L29" s="82">
        <v>3154.8969999999999</v>
      </c>
      <c r="M29" s="82">
        <v>3191.1</v>
      </c>
      <c r="N29" s="82">
        <v>3016</v>
      </c>
      <c r="O29" s="82">
        <v>3037</v>
      </c>
      <c r="P29" s="82">
        <v>3142</v>
      </c>
      <c r="Q29" s="82">
        <v>3224</v>
      </c>
      <c r="R29" s="82">
        <v>3235</v>
      </c>
      <c r="S29" s="82">
        <v>3225.1072469999999</v>
      </c>
      <c r="T29" s="82">
        <v>3212.698911</v>
      </c>
      <c r="U29" s="82">
        <v>3056.1640000000002</v>
      </c>
      <c r="V29" s="82">
        <v>2951.1206999999999</v>
      </c>
      <c r="W29" s="82">
        <v>3015.6866060000002</v>
      </c>
      <c r="X29" s="82">
        <v>2867</v>
      </c>
      <c r="Y29" s="82">
        <v>2581</v>
      </c>
    </row>
    <row r="30" spans="1:25">
      <c r="A30" t="s">
        <v>2</v>
      </c>
      <c r="D30" s="72"/>
      <c r="E30" s="72"/>
      <c r="F30" s="72"/>
      <c r="G30" s="72"/>
      <c r="H30" s="72"/>
      <c r="I30" s="72"/>
      <c r="J30" s="72"/>
      <c r="K30" s="72"/>
      <c r="L30" s="72"/>
      <c r="M30" s="72"/>
      <c r="N30" s="72"/>
      <c r="O30" s="72"/>
      <c r="P30" s="72"/>
      <c r="Q30" s="72"/>
      <c r="R30" s="72"/>
      <c r="S30" s="72"/>
      <c r="T30" s="72"/>
      <c r="U30" s="72"/>
      <c r="V30" s="72"/>
      <c r="W30" s="72"/>
      <c r="X30" s="72"/>
      <c r="Y30" s="72"/>
    </row>
    <row r="31" spans="1:25">
      <c r="A31" s="23" t="s">
        <v>53</v>
      </c>
    </row>
    <row r="32" spans="1:25">
      <c r="B32" s="11" t="s">
        <v>359</v>
      </c>
      <c r="C32" s="58" t="s">
        <v>269</v>
      </c>
      <c r="D32" s="82">
        <v>5345.3867123999999</v>
      </c>
      <c r="E32" s="82">
        <v>5695.8812336000001</v>
      </c>
      <c r="F32" s="82">
        <v>5537.2610439999999</v>
      </c>
      <c r="G32" s="82">
        <v>5375.31715936</v>
      </c>
      <c r="H32" s="82">
        <v>5312.1011664999996</v>
      </c>
      <c r="I32" s="82">
        <v>5729.8959329999998</v>
      </c>
      <c r="J32" s="82">
        <v>5018.6549188977597</v>
      </c>
      <c r="K32" s="82">
        <v>5441.4687876092403</v>
      </c>
      <c r="L32" s="82">
        <v>4701.7060827913901</v>
      </c>
      <c r="M32" s="82">
        <v>4790.0606399348399</v>
      </c>
      <c r="N32" s="82">
        <v>4969.6206190845496</v>
      </c>
      <c r="O32" s="82">
        <v>5059.5892960483598</v>
      </c>
      <c r="P32" s="82">
        <v>5160.4740747082296</v>
      </c>
      <c r="Q32" s="82">
        <v>5130.0146276656897</v>
      </c>
      <c r="R32" s="82">
        <v>5095.8262139183998</v>
      </c>
      <c r="S32" s="82">
        <v>5270.4838521624197</v>
      </c>
      <c r="T32" s="82">
        <v>5138.6161577548</v>
      </c>
      <c r="U32" s="82">
        <v>4646.7800822133104</v>
      </c>
      <c r="V32" s="82">
        <v>4962.98803170472</v>
      </c>
      <c r="W32" s="104">
        <v>5193.0197935537699</v>
      </c>
      <c r="X32" s="104">
        <v>4762.3052425772303</v>
      </c>
      <c r="Y32" s="81">
        <v>4121.15101309698</v>
      </c>
    </row>
    <row r="33" spans="1:25">
      <c r="B33" s="11" t="s">
        <v>360</v>
      </c>
      <c r="C33" s="58" t="s">
        <v>269</v>
      </c>
      <c r="D33" s="82">
        <v>1948.8991550000001</v>
      </c>
      <c r="E33" s="82">
        <v>1874.948928</v>
      </c>
      <c r="F33" s="82">
        <v>1729.297918</v>
      </c>
      <c r="G33" s="82">
        <v>1877.68388</v>
      </c>
      <c r="H33" s="82">
        <v>1855.4416819999999</v>
      </c>
      <c r="I33" s="82">
        <v>1942.7032380000001</v>
      </c>
      <c r="J33" s="82">
        <v>1577.9571659999999</v>
      </c>
      <c r="K33" s="82">
        <v>1703.1403869999999</v>
      </c>
      <c r="L33" s="82">
        <v>1869.6534692</v>
      </c>
      <c r="M33" s="82">
        <v>1815.2279764</v>
      </c>
      <c r="N33" s="82">
        <v>1777.42859</v>
      </c>
      <c r="O33" s="82">
        <v>1729.6577102000001</v>
      </c>
      <c r="P33" s="82">
        <v>1938.916039</v>
      </c>
      <c r="Q33" s="82">
        <v>2107.645853</v>
      </c>
      <c r="R33" s="82">
        <v>2231.4901420000001</v>
      </c>
      <c r="S33" s="82" t="s">
        <v>211</v>
      </c>
      <c r="T33" s="82" t="s">
        <v>211</v>
      </c>
      <c r="U33" s="82" t="s">
        <v>211</v>
      </c>
      <c r="V33" s="82" t="s">
        <v>211</v>
      </c>
      <c r="W33" s="82" t="s">
        <v>211</v>
      </c>
      <c r="X33" s="82" t="s">
        <v>211</v>
      </c>
      <c r="Y33" s="81" t="s">
        <v>211</v>
      </c>
    </row>
    <row r="34" spans="1:25">
      <c r="B34" s="11" t="s">
        <v>51</v>
      </c>
      <c r="C34" s="60" t="s">
        <v>52</v>
      </c>
      <c r="D34" s="82">
        <v>3783.15741068738</v>
      </c>
      <c r="E34" s="82">
        <v>4107.5448331176904</v>
      </c>
      <c r="F34" s="82">
        <v>4349.23013725491</v>
      </c>
      <c r="G34" s="82">
        <v>4518.5753902673796</v>
      </c>
      <c r="H34" s="82">
        <v>4271.9218177068296</v>
      </c>
      <c r="I34" s="82">
        <v>4335.9544942233797</v>
      </c>
      <c r="J34" s="82">
        <v>4172.3706402292401</v>
      </c>
      <c r="K34" s="82">
        <v>3861.4450749192301</v>
      </c>
      <c r="L34" s="82">
        <v>4011.35753467731</v>
      </c>
      <c r="M34" s="82">
        <v>3803.6283542021401</v>
      </c>
      <c r="N34" s="82">
        <v>3680.9280204193401</v>
      </c>
      <c r="O34" s="82">
        <v>3562.2029312079399</v>
      </c>
      <c r="P34" s="82">
        <v>3618.7462290631001</v>
      </c>
      <c r="Q34" s="82">
        <v>3681.30104900478</v>
      </c>
      <c r="R34" s="82">
        <v>3499.1287178749499</v>
      </c>
      <c r="S34" s="82">
        <v>3518.82657955998</v>
      </c>
      <c r="T34" s="82">
        <v>3479.64987810605</v>
      </c>
      <c r="U34" s="82">
        <v>3279.4854683305198</v>
      </c>
      <c r="V34" s="82">
        <v>3078.3303992241099</v>
      </c>
      <c r="W34" s="82">
        <v>3209.8464631912202</v>
      </c>
      <c r="X34" s="82">
        <v>3110.50006489215</v>
      </c>
      <c r="Y34" s="82">
        <v>2841.3131510036001</v>
      </c>
    </row>
    <row r="35" spans="1:25">
      <c r="A35" t="s">
        <v>2</v>
      </c>
    </row>
    <row r="36" spans="1:25">
      <c r="D36" s="72"/>
      <c r="E36" s="72"/>
      <c r="F36" s="72"/>
      <c r="G36" s="72"/>
      <c r="H36" s="72"/>
      <c r="I36" s="72"/>
      <c r="J36" s="72"/>
      <c r="K36" s="72"/>
      <c r="L36" s="72"/>
      <c r="M36" s="72"/>
      <c r="N36" s="72"/>
      <c r="O36" s="72"/>
      <c r="P36" s="72"/>
      <c r="Q36" s="72"/>
      <c r="R36" s="72"/>
      <c r="S36" s="72"/>
      <c r="T36" s="72"/>
      <c r="U36" s="72"/>
      <c r="V36" s="72"/>
      <c r="W36" s="72"/>
      <c r="X36" s="72"/>
      <c r="Y36" s="72"/>
    </row>
    <row r="37" spans="1:25">
      <c r="A37" s="22" t="s">
        <v>361</v>
      </c>
      <c r="C37" s="60" t="s">
        <v>54</v>
      </c>
      <c r="D37" s="82">
        <v>88.389646984999999</v>
      </c>
      <c r="E37" s="82">
        <v>94.650646320000007</v>
      </c>
      <c r="F37" s="82">
        <v>87.449005909999997</v>
      </c>
      <c r="G37" s="82">
        <v>86.745564817499996</v>
      </c>
      <c r="H37" s="82">
        <v>87.017195189999995</v>
      </c>
      <c r="I37" s="82">
        <v>80.5592399075</v>
      </c>
      <c r="J37" s="82">
        <v>76.474348682499993</v>
      </c>
      <c r="K37" s="82">
        <v>73.990168692500006</v>
      </c>
      <c r="L37" s="82">
        <v>63.990390750000003</v>
      </c>
      <c r="M37" s="82">
        <v>64.850759007500002</v>
      </c>
      <c r="N37" s="82">
        <v>61.390745407499999</v>
      </c>
      <c r="O37" s="82">
        <v>70.359497427500003</v>
      </c>
      <c r="P37" s="82">
        <v>64.413108512500003</v>
      </c>
      <c r="Q37" s="82">
        <v>64.609327057499996</v>
      </c>
      <c r="R37" s="82">
        <v>69.700313429999994</v>
      </c>
      <c r="S37" s="82">
        <v>76.209349415000005</v>
      </c>
      <c r="T37" s="82">
        <v>71.281150107499997</v>
      </c>
      <c r="U37" s="82">
        <v>70.335336017499998</v>
      </c>
      <c r="V37" s="82">
        <v>69.726247365000006</v>
      </c>
      <c r="W37" s="82">
        <v>69.456556857500004</v>
      </c>
      <c r="X37" s="82">
        <v>59.205997965000002</v>
      </c>
      <c r="Y37" s="82">
        <v>65.980113024999994</v>
      </c>
    </row>
    <row r="38" spans="1:25">
      <c r="A38" t="s">
        <v>2</v>
      </c>
      <c r="D38" s="82"/>
      <c r="E38" s="82"/>
      <c r="F38" s="82"/>
      <c r="G38" s="82"/>
      <c r="H38" s="82"/>
      <c r="I38" s="82"/>
      <c r="J38" s="82"/>
      <c r="K38" s="82"/>
      <c r="L38" s="82"/>
      <c r="M38" s="82"/>
      <c r="N38" s="82"/>
      <c r="O38" s="82"/>
      <c r="P38" s="82"/>
      <c r="Q38" s="82"/>
      <c r="R38" s="82"/>
      <c r="S38" s="82"/>
      <c r="T38" s="82"/>
      <c r="U38" s="82"/>
      <c r="V38" s="82"/>
      <c r="W38" s="82"/>
      <c r="X38" s="82"/>
      <c r="Y38" s="82"/>
    </row>
    <row r="39" spans="1:25">
      <c r="A39" s="23" t="s">
        <v>55</v>
      </c>
      <c r="D39" s="82"/>
      <c r="E39" s="82"/>
      <c r="F39" s="82"/>
      <c r="G39" s="82"/>
      <c r="H39" s="82"/>
      <c r="I39" s="82"/>
      <c r="J39" s="82"/>
      <c r="K39" s="82"/>
      <c r="L39" s="82"/>
      <c r="M39" s="82"/>
      <c r="N39" s="82"/>
      <c r="O39" s="82"/>
      <c r="P39" s="82"/>
      <c r="Q39" s="82"/>
      <c r="R39" s="82"/>
      <c r="S39" s="82"/>
      <c r="T39" s="82"/>
      <c r="U39" s="82"/>
      <c r="V39" s="82"/>
      <c r="W39" s="82"/>
      <c r="X39" s="82"/>
      <c r="Y39" s="82"/>
    </row>
    <row r="40" spans="1:25">
      <c r="B40" s="24" t="s">
        <v>56</v>
      </c>
      <c r="C40" s="60" t="s">
        <v>54</v>
      </c>
      <c r="D40" s="82">
        <v>113.74299999999999</v>
      </c>
      <c r="E40" s="82">
        <v>119.142</v>
      </c>
      <c r="F40" s="82">
        <v>106.49</v>
      </c>
      <c r="G40" s="82">
        <v>104.55</v>
      </c>
      <c r="H40" s="82">
        <v>106.92</v>
      </c>
      <c r="I40" s="82">
        <v>108.027</v>
      </c>
      <c r="J40" s="82">
        <v>93.12</v>
      </c>
      <c r="K40" s="82">
        <v>115.586</v>
      </c>
      <c r="L40" s="82">
        <v>100.54900000000001</v>
      </c>
      <c r="M40" s="82">
        <v>89.837000000000003</v>
      </c>
      <c r="N40" s="82">
        <v>95.632999999999996</v>
      </c>
      <c r="O40" s="82">
        <v>107.61799999999999</v>
      </c>
      <c r="P40" s="82">
        <v>117.124</v>
      </c>
      <c r="Q40" s="82">
        <v>116.381</v>
      </c>
      <c r="R40" s="82">
        <v>115.48399999999999</v>
      </c>
      <c r="S40" s="82">
        <v>121.49</v>
      </c>
      <c r="T40" s="122">
        <v>112.18300000000001</v>
      </c>
      <c r="U40" s="122">
        <v>102.221</v>
      </c>
      <c r="V40" s="122">
        <v>140.44800000000001</v>
      </c>
      <c r="W40" s="122">
        <v>132.04599999999999</v>
      </c>
      <c r="X40" s="122">
        <v>110.182</v>
      </c>
      <c r="Y40" s="122">
        <v>99.656000000000006</v>
      </c>
    </row>
    <row r="41" spans="1:25">
      <c r="B41" s="24" t="s">
        <v>57</v>
      </c>
      <c r="C41" s="60" t="s">
        <v>54</v>
      </c>
      <c r="D41" s="82">
        <v>172.346</v>
      </c>
      <c r="E41" s="82">
        <v>175.24700000000001</v>
      </c>
      <c r="F41" s="82">
        <v>160.261</v>
      </c>
      <c r="G41" s="82">
        <v>152.67400000000001</v>
      </c>
      <c r="H41" s="82">
        <v>152.77099999999999</v>
      </c>
      <c r="I41" s="82">
        <v>159.61699999999999</v>
      </c>
      <c r="J41" s="82">
        <v>132.751</v>
      </c>
      <c r="K41" s="82">
        <v>170.27099999999999</v>
      </c>
      <c r="L41" s="82">
        <v>162.499</v>
      </c>
      <c r="M41" s="82">
        <v>145.35</v>
      </c>
      <c r="N41" s="82">
        <v>166.02699999999999</v>
      </c>
      <c r="O41" s="82">
        <v>184.911</v>
      </c>
      <c r="P41" s="82">
        <v>219.28899999999999</v>
      </c>
      <c r="Q41" s="82">
        <v>234.44</v>
      </c>
      <c r="R41" s="82">
        <v>221.43899999999999</v>
      </c>
      <c r="S41" s="82">
        <v>229.89699999999999</v>
      </c>
      <c r="T41" s="122">
        <v>197.041</v>
      </c>
      <c r="U41" s="122">
        <v>173.11500000000001</v>
      </c>
      <c r="V41" s="122">
        <v>213.035</v>
      </c>
      <c r="W41" s="122">
        <v>208.12100000000001</v>
      </c>
      <c r="X41" s="122">
        <v>173.38200000000001</v>
      </c>
      <c r="Y41" s="122">
        <v>159.67699999999999</v>
      </c>
    </row>
    <row r="42" spans="1:25">
      <c r="A42" t="s">
        <v>2</v>
      </c>
      <c r="D42" s="82"/>
      <c r="E42" s="82"/>
      <c r="F42" s="82"/>
      <c r="G42" s="82"/>
      <c r="H42" s="82"/>
      <c r="I42" s="82"/>
      <c r="J42" s="82"/>
      <c r="K42" s="82"/>
      <c r="L42" s="82"/>
      <c r="M42" s="82"/>
      <c r="N42" s="82"/>
      <c r="O42" s="82"/>
      <c r="P42" s="82"/>
      <c r="Q42" s="82"/>
      <c r="R42" s="82"/>
      <c r="S42" s="82"/>
      <c r="T42" s="82"/>
      <c r="U42" s="82"/>
      <c r="V42" s="82"/>
      <c r="W42" s="82"/>
      <c r="X42" s="82"/>
      <c r="Y42" s="82"/>
    </row>
    <row r="43" spans="1:25">
      <c r="A43" s="23" t="s">
        <v>58</v>
      </c>
    </row>
    <row r="44" spans="1:25">
      <c r="B44" s="24" t="s">
        <v>49</v>
      </c>
      <c r="C44" s="58" t="s">
        <v>269</v>
      </c>
      <c r="D44" s="82">
        <v>750.95399999999995</v>
      </c>
      <c r="E44" s="82">
        <v>805.60451999999998</v>
      </c>
      <c r="F44" s="82">
        <v>789.51675</v>
      </c>
      <c r="G44" s="82">
        <v>623.93001000000004</v>
      </c>
      <c r="H44" s="82">
        <v>552.39481799999999</v>
      </c>
      <c r="I44" s="82">
        <v>705.88475300000005</v>
      </c>
      <c r="J44" s="82">
        <v>565.24484299999995</v>
      </c>
      <c r="K44" s="82">
        <v>658.81527700000004</v>
      </c>
      <c r="L44" s="82">
        <v>719.28237999999999</v>
      </c>
      <c r="M44" s="82">
        <v>633.05655100000001</v>
      </c>
      <c r="N44" s="82">
        <v>609.70961299999999</v>
      </c>
      <c r="O44" s="82">
        <v>652.29083500000002</v>
      </c>
      <c r="P44" s="82">
        <v>794.28172400000005</v>
      </c>
      <c r="Q44" s="82">
        <v>686.82631500000002</v>
      </c>
      <c r="R44" s="82">
        <v>624.10701400000005</v>
      </c>
      <c r="S44" s="82">
        <v>808.84821699999998</v>
      </c>
      <c r="T44" s="82">
        <v>831.093256</v>
      </c>
      <c r="U44" s="82">
        <v>504.79757699999999</v>
      </c>
      <c r="V44" s="82">
        <v>607.50815699999998</v>
      </c>
      <c r="W44" s="82">
        <v>974.44706699999995</v>
      </c>
      <c r="X44" s="82">
        <v>735.37393799999995</v>
      </c>
      <c r="Y44" s="82">
        <v>613.12110499999994</v>
      </c>
    </row>
    <row r="45" spans="1:25">
      <c r="B45" s="24"/>
      <c r="C45" s="60" t="s">
        <v>47</v>
      </c>
      <c r="D45" s="82">
        <v>447.31018699999998</v>
      </c>
      <c r="E45" s="82">
        <v>441.50412974</v>
      </c>
      <c r="F45" s="82">
        <v>439.15454097000003</v>
      </c>
      <c r="G45" s="82">
        <v>369.29515192000002</v>
      </c>
      <c r="H45" s="82">
        <v>360.49946053000002</v>
      </c>
      <c r="I45" s="82">
        <v>422.37967705</v>
      </c>
      <c r="J45" s="82">
        <v>343.98139122999999</v>
      </c>
      <c r="K45" s="82">
        <v>351.11987395</v>
      </c>
      <c r="L45" s="82">
        <v>372.96871345</v>
      </c>
      <c r="M45" s="82">
        <v>341.54193651999998</v>
      </c>
      <c r="N45" s="82">
        <v>316.86869889000002</v>
      </c>
      <c r="O45" s="82">
        <v>358.51569817000001</v>
      </c>
      <c r="P45" s="82">
        <v>449.79990932999999</v>
      </c>
      <c r="Q45" s="82">
        <v>397.44814885</v>
      </c>
      <c r="R45" s="82">
        <v>372.8837633</v>
      </c>
      <c r="S45" s="82">
        <v>451.42669979999999</v>
      </c>
      <c r="T45" s="82">
        <v>476.49446533999998</v>
      </c>
      <c r="U45" s="82">
        <v>312.63380101000001</v>
      </c>
      <c r="V45" s="82">
        <v>370.60383060999999</v>
      </c>
      <c r="W45" s="82">
        <v>790.89191103999997</v>
      </c>
      <c r="X45" s="82">
        <v>598.00753492000001</v>
      </c>
      <c r="Y45" s="82">
        <v>430.65161981</v>
      </c>
    </row>
    <row r="46" spans="1:25">
      <c r="B46" s="24" t="s">
        <v>50</v>
      </c>
      <c r="C46" s="58" t="s">
        <v>269</v>
      </c>
      <c r="D46" s="82">
        <v>378.325500340818</v>
      </c>
      <c r="E46" s="82">
        <v>336.54212031568056</v>
      </c>
      <c r="F46" s="82">
        <v>368.56968643743409</v>
      </c>
      <c r="G46" s="82">
        <v>453.12297689396081</v>
      </c>
      <c r="H46" s="82">
        <v>520.25981470117563</v>
      </c>
      <c r="I46" s="82">
        <v>500.28915936853372</v>
      </c>
      <c r="J46" s="82">
        <v>407.21703173639401</v>
      </c>
      <c r="K46" s="82">
        <v>441.39632502193314</v>
      </c>
      <c r="L46" s="82">
        <v>502.98142149571896</v>
      </c>
      <c r="M46" s="82">
        <v>578.03700276700681</v>
      </c>
      <c r="N46" s="82">
        <v>529.64100726655488</v>
      </c>
      <c r="O46" s="82">
        <v>549.9473885169233</v>
      </c>
      <c r="P46" s="82">
        <v>621.98728113177447</v>
      </c>
      <c r="Q46" s="82">
        <v>647.98811417304273</v>
      </c>
      <c r="R46" s="82">
        <v>747.39496500331313</v>
      </c>
      <c r="S46" s="82">
        <v>953.59310119817644</v>
      </c>
      <c r="T46" s="82">
        <v>820.92625193335107</v>
      </c>
      <c r="U46" s="82">
        <v>708.15131614895336</v>
      </c>
      <c r="V46" s="82">
        <v>833.00890640376417</v>
      </c>
      <c r="W46" s="82">
        <v>1032.8625088928909</v>
      </c>
      <c r="X46" s="82">
        <v>947.69433291112875</v>
      </c>
      <c r="Y46" s="82">
        <v>987.16022809089839</v>
      </c>
    </row>
    <row r="47" spans="1:25">
      <c r="B47" s="24"/>
      <c r="C47" s="60" t="s">
        <v>47</v>
      </c>
      <c r="D47" s="82">
        <v>208.22962500000003</v>
      </c>
      <c r="E47" s="82">
        <v>191.61560632000001</v>
      </c>
      <c r="F47" s="82">
        <v>208.72446395</v>
      </c>
      <c r="G47" s="82">
        <v>229.38295224999999</v>
      </c>
      <c r="H47" s="82">
        <v>283.17154636000032</v>
      </c>
      <c r="I47" s="82">
        <v>273.5440783800002</v>
      </c>
      <c r="J47" s="82">
        <v>258.51030806999989</v>
      </c>
      <c r="K47" s="82">
        <v>248.0591860699999</v>
      </c>
      <c r="L47" s="82">
        <v>289.27794807999982</v>
      </c>
      <c r="M47" s="82">
        <v>322.88161845999991</v>
      </c>
      <c r="N47" s="82">
        <v>311.48440130999995</v>
      </c>
      <c r="O47" s="82">
        <v>370.29086805999964</v>
      </c>
      <c r="P47" s="82">
        <v>439.3455974400004</v>
      </c>
      <c r="Q47" s="82">
        <v>489.32402213000029</v>
      </c>
      <c r="R47" s="82">
        <v>545.54994127999976</v>
      </c>
      <c r="S47" s="82">
        <v>684.23792936000075</v>
      </c>
      <c r="T47" s="82">
        <v>678.2421630299998</v>
      </c>
      <c r="U47" s="82">
        <v>642.32329506999918</v>
      </c>
      <c r="V47" s="82">
        <v>689.28656244000013</v>
      </c>
      <c r="W47" s="82">
        <v>1040.9706094700002</v>
      </c>
      <c r="X47" s="82">
        <v>1113.3245678800008</v>
      </c>
      <c r="Y47" s="82">
        <v>1049.7313061399991</v>
      </c>
    </row>
    <row r="48" spans="1:25">
      <c r="B48" s="24" t="s">
        <v>51</v>
      </c>
      <c r="C48" s="60" t="s">
        <v>52</v>
      </c>
      <c r="D48" s="82">
        <v>1516.4479240000001</v>
      </c>
      <c r="E48" s="82">
        <v>1453.150003</v>
      </c>
      <c r="F48" s="82">
        <v>1404.6745020000001</v>
      </c>
      <c r="G48" s="82">
        <v>2125.3674403825198</v>
      </c>
      <c r="H48" s="82">
        <v>1882.32082500754</v>
      </c>
      <c r="I48" s="82">
        <v>1853.50831446194</v>
      </c>
      <c r="J48" s="82">
        <v>1676.9848218018201</v>
      </c>
      <c r="K48" s="82">
        <v>1748.60965196354</v>
      </c>
      <c r="L48" s="82">
        <v>1895.49308765813</v>
      </c>
      <c r="M48" s="82">
        <v>1745.7702109147399</v>
      </c>
      <c r="N48" s="82">
        <v>1798.1945744649299</v>
      </c>
      <c r="O48" s="82">
        <v>1728.72403909273</v>
      </c>
      <c r="P48" s="82">
        <v>1650.7223526814801</v>
      </c>
      <c r="Q48" s="82">
        <v>1594.7901609875901</v>
      </c>
      <c r="R48" s="82">
        <v>1516.4824662435799</v>
      </c>
      <c r="S48" s="82">
        <v>1453.2004261838499</v>
      </c>
      <c r="T48" s="82">
        <v>1404.8448876910099</v>
      </c>
      <c r="U48" s="82">
        <v>1335.8205264948101</v>
      </c>
      <c r="V48" s="82">
        <v>1138.11648401668</v>
      </c>
      <c r="W48" s="82">
        <v>1187.4663299942899</v>
      </c>
      <c r="X48" s="82">
        <v>1129.83512714159</v>
      </c>
      <c r="Y48" s="82">
        <v>1199.8488294409001</v>
      </c>
    </row>
    <row r="49" spans="1:25">
      <c r="B49" s="24"/>
      <c r="C49" s="60" t="s">
        <v>47</v>
      </c>
      <c r="D49" s="82">
        <v>2096.1340369999998</v>
      </c>
      <c r="E49" s="82">
        <v>2104.8432699999998</v>
      </c>
      <c r="F49" s="82">
        <v>2245.2386470000001</v>
      </c>
      <c r="G49" s="82">
        <v>2187.0325981000001</v>
      </c>
      <c r="H49" s="82">
        <v>2270.4742693600001</v>
      </c>
      <c r="I49" s="82">
        <v>2248.3956222000002</v>
      </c>
      <c r="J49" s="82">
        <v>2276.42954048</v>
      </c>
      <c r="K49" s="82">
        <v>2175.1396780099999</v>
      </c>
      <c r="L49" s="82">
        <v>2223.23781332</v>
      </c>
      <c r="M49" s="82">
        <v>2036.7781706200001</v>
      </c>
      <c r="N49" s="82">
        <v>2043.0780707700001</v>
      </c>
      <c r="O49" s="82">
        <v>2104.7675306000001</v>
      </c>
      <c r="P49" s="82">
        <v>2152.79695945</v>
      </c>
      <c r="Q49" s="82">
        <v>2230.4290453399999</v>
      </c>
      <c r="R49" s="82">
        <v>2096.13397287</v>
      </c>
      <c r="S49" s="82">
        <v>2104.8431407600001</v>
      </c>
      <c r="T49" s="82">
        <v>2245.1821924699998</v>
      </c>
      <c r="U49" s="82">
        <v>2274.9574767099998</v>
      </c>
      <c r="V49" s="82">
        <v>1930.3916059000001</v>
      </c>
      <c r="W49" s="82">
        <v>2235.2606242100001</v>
      </c>
      <c r="X49" s="82">
        <v>2498.60339471</v>
      </c>
      <c r="Y49" s="82">
        <v>2541.0048586900002</v>
      </c>
    </row>
    <row r="50" spans="1:25">
      <c r="B50" s="11" t="s">
        <v>362</v>
      </c>
      <c r="C50" s="60" t="s">
        <v>47</v>
      </c>
      <c r="D50" s="82">
        <v>5195.2504280000003</v>
      </c>
      <c r="E50" s="82">
        <v>5615.7896700000001</v>
      </c>
      <c r="F50" s="82">
        <v>5925.5603119999996</v>
      </c>
      <c r="G50" s="82">
        <v>4033.86154627</v>
      </c>
      <c r="H50" s="82">
        <v>4295.8435652600001</v>
      </c>
      <c r="I50" s="82">
        <v>4422.9039424299999</v>
      </c>
      <c r="J50" s="82">
        <v>4471.0830989699998</v>
      </c>
      <c r="K50" s="82">
        <v>4225.3779228200001</v>
      </c>
      <c r="L50" s="82">
        <v>4431.4754830399997</v>
      </c>
      <c r="M50" s="82">
        <v>4202.2016546300001</v>
      </c>
      <c r="N50" s="82">
        <v>4116.2882123899999</v>
      </c>
      <c r="O50" s="82">
        <v>4596.1719793100001</v>
      </c>
      <c r="P50" s="82">
        <v>5052.0150393599997</v>
      </c>
      <c r="Q50" s="82">
        <v>5378.3877797100004</v>
      </c>
      <c r="R50" s="82">
        <v>5195.2502492399999</v>
      </c>
      <c r="S50" s="82">
        <v>5615.7893715600003</v>
      </c>
      <c r="T50" s="82">
        <v>5924.2911467800004</v>
      </c>
      <c r="U50" s="82">
        <v>5611.0969231500003</v>
      </c>
      <c r="V50" s="82">
        <v>5434.6697153499999</v>
      </c>
      <c r="W50" s="82">
        <v>6746.4937223999996</v>
      </c>
      <c r="X50" s="82">
        <v>6865.5467633199996</v>
      </c>
      <c r="Y50" s="82">
        <v>6504.7496086800002</v>
      </c>
    </row>
    <row r="51" spans="1:25">
      <c r="A51" t="s">
        <v>2</v>
      </c>
      <c r="U51" s="80"/>
      <c r="V51" s="80"/>
      <c r="W51" s="80"/>
      <c r="X51" s="80"/>
      <c r="Y51" s="80"/>
    </row>
    <row r="52" spans="1:25">
      <c r="A52" s="23" t="s">
        <v>59</v>
      </c>
    </row>
    <row r="53" spans="1:25">
      <c r="B53" s="24" t="s">
        <v>49</v>
      </c>
      <c r="C53" s="58" t="s">
        <v>269</v>
      </c>
      <c r="D53" s="82">
        <v>301.14999999999998</v>
      </c>
      <c r="E53" s="82">
        <v>240.529</v>
      </c>
      <c r="F53" s="82">
        <v>246.30600000000001</v>
      </c>
      <c r="G53" s="82">
        <v>280.53199999999998</v>
      </c>
      <c r="H53" s="82">
        <v>403.565</v>
      </c>
      <c r="I53" s="82">
        <v>347.98881999999998</v>
      </c>
      <c r="J53" s="82">
        <v>551.58432000000005</v>
      </c>
      <c r="K53" s="82">
        <v>683.25486000000001</v>
      </c>
      <c r="L53" s="82">
        <v>574.01854000000003</v>
      </c>
      <c r="M53" s="82">
        <v>234.72461000000001</v>
      </c>
      <c r="N53" s="82">
        <v>233.28782000000001</v>
      </c>
      <c r="O53" s="82">
        <v>351.18362999999999</v>
      </c>
      <c r="P53" s="82">
        <v>444.10761000000002</v>
      </c>
      <c r="Q53" s="82">
        <v>282.08974000000001</v>
      </c>
      <c r="R53" s="82">
        <v>301.14469000000003</v>
      </c>
      <c r="S53" s="82">
        <v>240.51068000000001</v>
      </c>
      <c r="T53" s="82">
        <v>199.66012000000001</v>
      </c>
      <c r="U53" s="82">
        <v>234.6995</v>
      </c>
      <c r="V53" s="82">
        <v>173.33754999999999</v>
      </c>
      <c r="W53" s="82">
        <v>131.64908</v>
      </c>
      <c r="X53" s="82">
        <v>229.91457</v>
      </c>
      <c r="Y53" s="82">
        <v>251.93293</v>
      </c>
    </row>
    <row r="54" spans="1:25">
      <c r="B54" s="24"/>
      <c r="C54" s="60" t="s">
        <v>47</v>
      </c>
      <c r="D54" s="82">
        <v>105.737634</v>
      </c>
      <c r="E54" s="82">
        <v>98.975168999999994</v>
      </c>
      <c r="F54" s="82">
        <v>92.334757999999994</v>
      </c>
      <c r="G54" s="82">
        <v>108.977138</v>
      </c>
      <c r="H54" s="82">
        <v>134.860646</v>
      </c>
      <c r="I54" s="82">
        <v>112.88670999999999</v>
      </c>
      <c r="J54" s="82">
        <v>116.558841</v>
      </c>
      <c r="K54" s="82">
        <v>118.22208500000001</v>
      </c>
      <c r="L54" s="82">
        <v>110.71482899999999</v>
      </c>
      <c r="M54" s="82">
        <v>84.816502</v>
      </c>
      <c r="N54" s="82">
        <v>86.243117999999996</v>
      </c>
      <c r="O54" s="82">
        <v>104.39501300000001</v>
      </c>
      <c r="P54" s="82">
        <v>106.36321700000001</v>
      </c>
      <c r="Q54" s="82">
        <v>98.961961000000002</v>
      </c>
      <c r="R54" s="82">
        <v>105.737634</v>
      </c>
      <c r="S54" s="82">
        <v>98.975168999999994</v>
      </c>
      <c r="T54" s="82">
        <v>92.210863000000003</v>
      </c>
      <c r="U54" s="82">
        <v>91.956135000000003</v>
      </c>
      <c r="V54" s="82">
        <v>69.866398000000004</v>
      </c>
      <c r="W54" s="82">
        <v>63.127451000000001</v>
      </c>
      <c r="X54" s="82">
        <v>70.231858000000003</v>
      </c>
      <c r="Y54" s="82">
        <v>81.419167000000002</v>
      </c>
    </row>
    <row r="55" spans="1:25">
      <c r="B55" s="24" t="s">
        <v>50</v>
      </c>
      <c r="C55" s="58" t="s">
        <v>269</v>
      </c>
      <c r="D55" s="82">
        <v>190.64097599999999</v>
      </c>
      <c r="E55" s="82">
        <v>158.126304</v>
      </c>
      <c r="F55" s="82">
        <v>116.882851</v>
      </c>
      <c r="G55" s="82">
        <v>463.172408139092</v>
      </c>
      <c r="H55" s="82">
        <v>329.49696618329102</v>
      </c>
      <c r="I55" s="82">
        <v>318.21293953128003</v>
      </c>
      <c r="J55" s="82">
        <v>533.96036601261903</v>
      </c>
      <c r="K55" s="82">
        <v>382.97839282467299</v>
      </c>
      <c r="L55" s="82">
        <v>426.11613943349101</v>
      </c>
      <c r="M55" s="82">
        <v>281.96007905673298</v>
      </c>
      <c r="N55" s="82">
        <v>145.80573301098099</v>
      </c>
      <c r="O55" s="82">
        <v>262.79504266738201</v>
      </c>
      <c r="P55" s="82">
        <v>248.83669580035499</v>
      </c>
      <c r="Q55" s="82">
        <v>196.97423966603299</v>
      </c>
      <c r="R55" s="82">
        <v>190.62517815097399</v>
      </c>
      <c r="S55" s="82">
        <v>158.13071822647501</v>
      </c>
      <c r="T55" s="82">
        <v>124.172313585225</v>
      </c>
      <c r="U55" s="82">
        <v>150.44671582357901</v>
      </c>
      <c r="V55" s="82">
        <v>133.54968976406099</v>
      </c>
      <c r="W55" s="82">
        <v>297.29995264247799</v>
      </c>
      <c r="X55" s="82">
        <v>276.15242816618201</v>
      </c>
      <c r="Y55" s="82">
        <v>282.02805889150397</v>
      </c>
    </row>
    <row r="56" spans="1:25">
      <c r="B56" s="24"/>
      <c r="C56" s="60" t="s">
        <v>47</v>
      </c>
      <c r="D56" s="82">
        <v>72.762692000000001</v>
      </c>
      <c r="E56" s="82">
        <v>65.091153000000006</v>
      </c>
      <c r="F56" s="82">
        <v>60.316791000000002</v>
      </c>
      <c r="G56" s="82">
        <v>180.156262</v>
      </c>
      <c r="H56" s="82">
        <v>131.60748599999999</v>
      </c>
      <c r="I56" s="82">
        <v>112.122305</v>
      </c>
      <c r="J56" s="82">
        <v>127.691258</v>
      </c>
      <c r="K56" s="82">
        <v>106.28625</v>
      </c>
      <c r="L56" s="82">
        <v>98.325995000000006</v>
      </c>
      <c r="M56" s="82">
        <v>83.037910999999994</v>
      </c>
      <c r="N56" s="82">
        <v>50.768425000000001</v>
      </c>
      <c r="O56" s="82">
        <v>61.525965999999997</v>
      </c>
      <c r="P56" s="82">
        <v>67.332903000000002</v>
      </c>
      <c r="Q56" s="82">
        <v>66.485101</v>
      </c>
      <c r="R56" s="82">
        <v>72.762692000000001</v>
      </c>
      <c r="S56" s="82">
        <v>65.091153000000006</v>
      </c>
      <c r="T56" s="82">
        <v>60.170782000000003</v>
      </c>
      <c r="U56" s="82">
        <v>64.309168999999997</v>
      </c>
      <c r="V56" s="82">
        <v>48.223050000000001</v>
      </c>
      <c r="W56" s="82">
        <v>47.977024</v>
      </c>
      <c r="X56" s="82">
        <v>34.856923000000002</v>
      </c>
      <c r="Y56" s="82">
        <v>50.641385999999997</v>
      </c>
    </row>
    <row r="57" spans="1:25">
      <c r="B57" s="24" t="s">
        <v>51</v>
      </c>
      <c r="C57" s="60" t="s">
        <v>52</v>
      </c>
      <c r="D57" s="82">
        <v>1242.990796</v>
      </c>
      <c r="E57" s="82">
        <v>1151.6040800000001</v>
      </c>
      <c r="F57" s="82">
        <v>1130.553893</v>
      </c>
      <c r="G57" s="82">
        <v>813.79205011513602</v>
      </c>
      <c r="H57" s="82">
        <v>811.39900730070701</v>
      </c>
      <c r="I57" s="82">
        <v>795.553820238561</v>
      </c>
      <c r="J57" s="82">
        <v>779.61418157258197</v>
      </c>
      <c r="K57" s="82">
        <v>900.49657704430899</v>
      </c>
      <c r="L57" s="82">
        <v>1039.0325529808199</v>
      </c>
      <c r="M57" s="82">
        <v>1133.2418567126001</v>
      </c>
      <c r="N57" s="82">
        <v>1133.2665540455901</v>
      </c>
      <c r="O57" s="82">
        <v>1203.5211078847899</v>
      </c>
      <c r="P57" s="82">
        <v>1173.9761236183799</v>
      </c>
      <c r="Q57" s="82">
        <v>1137.4891119828101</v>
      </c>
      <c r="R57" s="82">
        <v>1252.35374836863</v>
      </c>
      <c r="S57" s="82">
        <v>1159.48109362387</v>
      </c>
      <c r="T57" s="82">
        <v>1137.8939205849599</v>
      </c>
      <c r="U57" s="82">
        <v>1112.4990581642901</v>
      </c>
      <c r="V57" s="82">
        <v>1010.90678479257</v>
      </c>
      <c r="W57" s="82">
        <v>993.30647280307096</v>
      </c>
      <c r="X57" s="82">
        <v>886.33506224943699</v>
      </c>
      <c r="Y57" s="82">
        <v>939.53913243717602</v>
      </c>
    </row>
    <row r="58" spans="1:25">
      <c r="B58" s="24"/>
      <c r="C58" s="60" t="s">
        <v>47</v>
      </c>
      <c r="D58" s="82">
        <v>910.17713700000002</v>
      </c>
      <c r="E58" s="82">
        <v>962.56114500000001</v>
      </c>
      <c r="F58" s="82">
        <v>1042.812226</v>
      </c>
      <c r="G58" s="82">
        <v>629.48283400000003</v>
      </c>
      <c r="H58" s="82">
        <v>681.17035299999998</v>
      </c>
      <c r="I58" s="82">
        <v>667.54849899999999</v>
      </c>
      <c r="J58" s="82">
        <v>637.79045499999995</v>
      </c>
      <c r="K58" s="82">
        <v>682.11370299999999</v>
      </c>
      <c r="L58" s="82">
        <v>783.24477899999999</v>
      </c>
      <c r="M58" s="82">
        <v>756.23799299999996</v>
      </c>
      <c r="N58" s="82">
        <v>737.911745</v>
      </c>
      <c r="O58" s="82">
        <v>877.70452999999998</v>
      </c>
      <c r="P58" s="82">
        <v>930.64058599999998</v>
      </c>
      <c r="Q58" s="82">
        <v>937.44037200000002</v>
      </c>
      <c r="R58" s="82">
        <v>950.12922500000002</v>
      </c>
      <c r="S58" s="82">
        <v>1005.083962</v>
      </c>
      <c r="T58" s="82">
        <v>1089.261254</v>
      </c>
      <c r="U58" s="82">
        <v>931.61807099999999</v>
      </c>
      <c r="V58" s="82">
        <v>802.97348699999998</v>
      </c>
      <c r="W58" s="82">
        <v>978.53803700000003</v>
      </c>
      <c r="X58" s="82">
        <v>824.99390700000004</v>
      </c>
      <c r="Y58" s="82">
        <v>788.53825600000005</v>
      </c>
    </row>
    <row r="59" spans="1:25">
      <c r="B59" s="11" t="s">
        <v>364</v>
      </c>
      <c r="C59" s="60" t="s">
        <v>52</v>
      </c>
      <c r="D59" s="82">
        <v>7099.7870000000003</v>
      </c>
      <c r="E59" s="82">
        <v>7305.1009999999997</v>
      </c>
      <c r="F59" s="82">
        <v>7328.884</v>
      </c>
      <c r="G59" s="82">
        <v>5363.393</v>
      </c>
      <c r="H59" s="82">
        <v>5952.3850000000002</v>
      </c>
      <c r="I59" s="82">
        <v>6166.2145</v>
      </c>
      <c r="J59" s="82">
        <v>5254.7915400000002</v>
      </c>
      <c r="K59" s="82">
        <v>4817.6086100000002</v>
      </c>
      <c r="L59" s="82">
        <v>5064.3764000000001</v>
      </c>
      <c r="M59" s="82">
        <v>4149.9369900000002</v>
      </c>
      <c r="N59" s="82">
        <v>3806.0147400000001</v>
      </c>
      <c r="O59" s="82">
        <v>4776.1646600000004</v>
      </c>
      <c r="P59" s="82">
        <v>5706.9399000000003</v>
      </c>
      <c r="Q59" s="82">
        <v>6392.7013900000002</v>
      </c>
      <c r="R59" s="82">
        <v>7099.7864220000001</v>
      </c>
      <c r="S59" s="82">
        <v>7305.0994989999999</v>
      </c>
      <c r="T59" s="82">
        <v>7349.8521049999999</v>
      </c>
      <c r="U59" s="82">
        <v>5245.5432049999999</v>
      </c>
      <c r="V59" s="82">
        <v>4815.637248</v>
      </c>
      <c r="W59" s="82">
        <v>5548.2371999999996</v>
      </c>
      <c r="X59" s="82">
        <v>5415.8893770000004</v>
      </c>
      <c r="Y59" s="82">
        <v>4693.968433</v>
      </c>
    </row>
    <row r="60" spans="1:25">
      <c r="B60" s="24"/>
      <c r="C60" s="60" t="s">
        <v>47</v>
      </c>
      <c r="D60" s="82">
        <v>1251.6268520000001</v>
      </c>
      <c r="E60" s="82">
        <v>1328.195839</v>
      </c>
      <c r="F60" s="82">
        <v>1576.4753479999999</v>
      </c>
      <c r="G60" s="82">
        <v>839.037375</v>
      </c>
      <c r="H60" s="82">
        <v>950.29595099999995</v>
      </c>
      <c r="I60" s="82">
        <v>1072.2205590000001</v>
      </c>
      <c r="J60" s="82">
        <v>996.76261499999998</v>
      </c>
      <c r="K60" s="82">
        <v>855.52233100000001</v>
      </c>
      <c r="L60" s="82">
        <v>884.44332899999995</v>
      </c>
      <c r="M60" s="82">
        <v>729.34581900000001</v>
      </c>
      <c r="N60" s="82">
        <v>610.96415300000001</v>
      </c>
      <c r="O60" s="82">
        <v>767.69710299999997</v>
      </c>
      <c r="P60" s="82">
        <v>953.66210899999999</v>
      </c>
      <c r="Q60" s="82">
        <v>1148.809031</v>
      </c>
      <c r="R60" s="82">
        <v>1251.6268520000001</v>
      </c>
      <c r="S60" s="82">
        <v>1328.195839</v>
      </c>
      <c r="T60" s="82">
        <v>1581.7284709999999</v>
      </c>
      <c r="U60" s="82">
        <v>1219.3741130000001</v>
      </c>
      <c r="V60" s="82">
        <v>941.27878299999998</v>
      </c>
      <c r="W60" s="82">
        <v>1163.5238609999999</v>
      </c>
      <c r="X60" s="82">
        <v>1268.6359910000001</v>
      </c>
      <c r="Y60" s="82">
        <v>1176.621484</v>
      </c>
    </row>
    <row r="61" spans="1:25">
      <c r="A61" s="25"/>
      <c r="B61" s="27" t="s">
        <v>363</v>
      </c>
      <c r="C61" s="62" t="s">
        <v>47</v>
      </c>
      <c r="D61" s="82">
        <v>3459.8185629999998</v>
      </c>
      <c r="E61" s="82">
        <v>3605.4736929999999</v>
      </c>
      <c r="F61" s="82">
        <v>3931.7348820000002</v>
      </c>
      <c r="G61" s="82">
        <v>2162.218265</v>
      </c>
      <c r="H61" s="82">
        <v>2358.8747109999999</v>
      </c>
      <c r="I61" s="82">
        <v>2472.0463549999999</v>
      </c>
      <c r="J61" s="82">
        <v>2363.6201820000001</v>
      </c>
      <c r="K61" s="82">
        <v>2271.98936</v>
      </c>
      <c r="L61" s="82">
        <v>2468.574012</v>
      </c>
      <c r="M61" s="82">
        <v>2228.9575220000002</v>
      </c>
      <c r="N61" s="82">
        <v>2043.6911339999999</v>
      </c>
      <c r="O61" s="82">
        <v>2528.410946</v>
      </c>
      <c r="P61" s="82">
        <v>2772.3578689999999</v>
      </c>
      <c r="Q61" s="82">
        <v>3116.2469219999998</v>
      </c>
      <c r="R61" s="82">
        <v>3459.7537619999998</v>
      </c>
      <c r="S61" s="82">
        <v>3605.2752719999999</v>
      </c>
      <c r="T61" s="82">
        <v>3923.9894479999998</v>
      </c>
      <c r="U61" s="82">
        <v>3292.9049450000002</v>
      </c>
      <c r="V61" s="82">
        <v>2699.9920139999999</v>
      </c>
      <c r="W61" s="82">
        <v>2994.472667</v>
      </c>
      <c r="X61" s="82">
        <v>2762.6009600000002</v>
      </c>
      <c r="Y61" s="91">
        <v>2707.8075180000001</v>
      </c>
    </row>
    <row r="62" spans="1:25" ht="83.25" customHeight="1">
      <c r="A62" t="s">
        <v>2</v>
      </c>
      <c r="D62" s="163" t="s">
        <v>420</v>
      </c>
      <c r="E62" s="163"/>
      <c r="F62" s="163"/>
      <c r="G62" s="163"/>
      <c r="H62" s="163"/>
      <c r="I62" s="163"/>
      <c r="J62" s="163"/>
      <c r="K62" s="163"/>
      <c r="L62" s="163"/>
      <c r="M62" s="163"/>
      <c r="N62" s="163"/>
      <c r="O62" s="163"/>
      <c r="P62" s="163"/>
      <c r="Q62" s="163"/>
      <c r="R62" s="163"/>
      <c r="S62" s="163"/>
      <c r="T62" s="163"/>
      <c r="U62" s="163"/>
      <c r="V62" s="163"/>
      <c r="W62" s="163"/>
      <c r="X62" s="163"/>
      <c r="Y62" s="163"/>
    </row>
    <row r="63" spans="1:25">
      <c r="A63" t="s">
        <v>2</v>
      </c>
    </row>
  </sheetData>
  <mergeCells count="2">
    <mergeCell ref="A2:X2"/>
    <mergeCell ref="D62:Y62"/>
  </mergeCells>
  <phoneticPr fontId="14" type="noConversion"/>
  <conditionalFormatting sqref="D32:V32">
    <cfRule type="cellIs" dxfId="71" priority="61" operator="lessThan">
      <formula>0</formula>
    </cfRule>
  </conditionalFormatting>
  <conditionalFormatting sqref="D33:X34 D40:S41 D42:Y42">
    <cfRule type="cellIs" dxfId="70" priority="20" operator="lessThan">
      <formula>0</formula>
    </cfRule>
  </conditionalFormatting>
  <conditionalFormatting sqref="D5:Y7">
    <cfRule type="cellIs" dxfId="69" priority="12" operator="lessThan">
      <formula>0</formula>
    </cfRule>
  </conditionalFormatting>
  <conditionalFormatting sqref="D10:Y12">
    <cfRule type="cellIs" dxfId="68" priority="8" operator="lessThan">
      <formula>0</formula>
    </cfRule>
  </conditionalFormatting>
  <conditionalFormatting sqref="D15:Y19">
    <cfRule type="cellIs" dxfId="67" priority="7" operator="lessThan">
      <formula>0</formula>
    </cfRule>
  </conditionalFormatting>
  <conditionalFormatting sqref="D22:Y24">
    <cfRule type="cellIs" dxfId="66" priority="6" operator="lessThan">
      <formula>0</formula>
    </cfRule>
  </conditionalFormatting>
  <conditionalFormatting sqref="D27:Y29">
    <cfRule type="cellIs" dxfId="65" priority="1" operator="lessThan">
      <formula>0</formula>
    </cfRule>
  </conditionalFormatting>
  <conditionalFormatting sqref="D37:Y39">
    <cfRule type="cellIs" dxfId="64" priority="3" operator="lessThan">
      <formula>0</formula>
    </cfRule>
  </conditionalFormatting>
  <conditionalFormatting sqref="D44:Y50 D53:Y61">
    <cfRule type="cellIs" dxfId="63" priority="14" operator="lessThan">
      <formula>0</formula>
    </cfRule>
  </conditionalFormatting>
  <conditionalFormatting sqref="Q7:Y7">
    <cfRule type="cellIs" dxfId="62" priority="60" operator="lessThan">
      <formula>0</formula>
    </cfRule>
  </conditionalFormatting>
  <conditionalFormatting sqref="Y32:Y34">
    <cfRule type="cellIs" dxfId="61" priority="2" operator="lessThan">
      <formula>0</formula>
    </cfRule>
  </conditionalFormatting>
  <pageMargins left="0.7" right="0.7" top="0.75" bottom="0.75" header="0.3" footer="0.3"/>
  <pageSetup paperSize="9" orientation="portrait" r:id="rId1"/>
  <headerFooter>
    <oddHeader>&amp;C&amp;"Calibri"&amp;12&amp;KFF0000 OFFICIAL&amp;1#_x000D_</oddHeader>
    <oddFooter>&amp;C_x000D_&amp;1#&amp;"Calibri"&amp;12&amp;KFF0000 OFFICIAL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2DBB-0D65-4E3D-8BB9-C10E0BDB3B78}">
  <dimension ref="A1:X69"/>
  <sheetViews>
    <sheetView zoomScaleNormal="100" workbookViewId="0">
      <selection activeCell="A13" sqref="A13:N13"/>
    </sheetView>
  </sheetViews>
  <sheetFormatPr defaultRowHeight="14.5"/>
  <cols>
    <col min="1" max="2" width="3" customWidth="1" collapsed="1"/>
    <col min="3" max="3" width="24.453125" bestFit="1" customWidth="1" collapsed="1"/>
    <col min="4" max="24" width="9" customWidth="1" collapsed="1"/>
  </cols>
  <sheetData>
    <row r="1" spans="1:23" ht="71.25" customHeight="1">
      <c r="B1" t="s">
        <v>2</v>
      </c>
    </row>
    <row r="2" spans="1:23" ht="21">
      <c r="A2" s="162" t="s">
        <v>325</v>
      </c>
      <c r="B2" s="162"/>
      <c r="C2" s="162"/>
      <c r="D2" s="162"/>
      <c r="E2" s="162"/>
      <c r="F2" s="162"/>
      <c r="G2" s="162"/>
      <c r="H2" s="162"/>
      <c r="I2" s="162"/>
      <c r="J2" s="162"/>
      <c r="K2" s="162"/>
      <c r="L2" s="162"/>
      <c r="M2" s="162"/>
    </row>
    <row r="3" spans="1:23" s="21" customFormat="1" ht="12">
      <c r="A3" s="65"/>
      <c r="B3" s="65" t="s">
        <v>38</v>
      </c>
      <c r="C3" s="65" t="s">
        <v>38</v>
      </c>
      <c r="D3" s="84" t="s">
        <v>37</v>
      </c>
      <c r="E3" s="65" t="s">
        <v>36</v>
      </c>
      <c r="F3" s="65" t="s">
        <v>35</v>
      </c>
      <c r="G3" s="65" t="s">
        <v>34</v>
      </c>
      <c r="H3" s="65" t="s">
        <v>33</v>
      </c>
      <c r="I3" s="65" t="s">
        <v>32</v>
      </c>
      <c r="J3" s="65" t="s">
        <v>31</v>
      </c>
      <c r="K3" s="65" t="s">
        <v>30</v>
      </c>
      <c r="L3" s="65" t="s">
        <v>29</v>
      </c>
      <c r="M3" s="65" t="s">
        <v>28</v>
      </c>
    </row>
    <row r="4" spans="1:23">
      <c r="A4" s="18" t="s">
        <v>27</v>
      </c>
      <c r="B4" s="22"/>
      <c r="C4" s="21"/>
      <c r="D4" s="61"/>
    </row>
    <row r="5" spans="1:23">
      <c r="A5" s="18"/>
      <c r="B5" s="17" t="s">
        <v>26</v>
      </c>
      <c r="C5" s="12"/>
      <c r="D5" s="79" t="s">
        <v>4</v>
      </c>
      <c r="E5" s="16">
        <v>15665</v>
      </c>
      <c r="F5" s="16">
        <v>7240</v>
      </c>
      <c r="G5" s="16">
        <v>35382</v>
      </c>
      <c r="H5" s="16">
        <v>4341</v>
      </c>
      <c r="I5" s="16">
        <v>16378</v>
      </c>
      <c r="J5" s="16">
        <v>2537</v>
      </c>
      <c r="K5" s="16">
        <v>19409</v>
      </c>
      <c r="L5" s="16">
        <v>129</v>
      </c>
      <c r="M5" s="16">
        <v>101081</v>
      </c>
    </row>
    <row r="6" spans="1:23">
      <c r="A6" s="15"/>
      <c r="B6" s="14"/>
      <c r="C6" s="12" t="s">
        <v>25</v>
      </c>
      <c r="D6" s="79" t="s">
        <v>4</v>
      </c>
      <c r="E6" s="16">
        <v>2163</v>
      </c>
      <c r="F6" s="16">
        <v>916</v>
      </c>
      <c r="G6" s="16">
        <v>2315</v>
      </c>
      <c r="H6" s="16">
        <v>0</v>
      </c>
      <c r="I6" s="16">
        <v>224</v>
      </c>
      <c r="J6" s="16">
        <v>1133</v>
      </c>
      <c r="K6" s="16">
        <v>0</v>
      </c>
      <c r="L6" s="16">
        <v>121</v>
      </c>
      <c r="M6" s="16">
        <v>6872</v>
      </c>
    </row>
    <row r="7" spans="1:23">
      <c r="A7" s="15"/>
      <c r="B7" s="14"/>
      <c r="C7" s="12" t="s">
        <v>24</v>
      </c>
      <c r="D7" s="79" t="s">
        <v>4</v>
      </c>
      <c r="E7" s="16">
        <v>9950</v>
      </c>
      <c r="F7" s="16">
        <v>4973</v>
      </c>
      <c r="G7" s="16">
        <v>31616</v>
      </c>
      <c r="H7" s="16">
        <v>217</v>
      </c>
      <c r="I7" s="16">
        <v>11565</v>
      </c>
      <c r="J7" s="16">
        <v>1278</v>
      </c>
      <c r="K7" s="16">
        <v>14885</v>
      </c>
      <c r="L7" s="16">
        <v>8</v>
      </c>
      <c r="M7" s="16">
        <v>74492</v>
      </c>
      <c r="N7" s="11"/>
    </row>
    <row r="8" spans="1:23">
      <c r="A8" s="15"/>
      <c r="B8" s="14"/>
      <c r="C8" s="12" t="s">
        <v>23</v>
      </c>
      <c r="D8" s="79" t="s">
        <v>4</v>
      </c>
      <c r="E8" s="16">
        <v>1810</v>
      </c>
      <c r="F8" s="16">
        <v>12</v>
      </c>
      <c r="G8" s="16">
        <v>1451</v>
      </c>
      <c r="H8" s="16">
        <v>164</v>
      </c>
      <c r="I8" s="16">
        <v>1213</v>
      </c>
      <c r="J8" s="16">
        <v>126</v>
      </c>
      <c r="K8" s="16">
        <v>4524</v>
      </c>
      <c r="L8" s="16">
        <v>0</v>
      </c>
      <c r="M8" s="16">
        <v>9300</v>
      </c>
      <c r="N8" s="11"/>
    </row>
    <row r="9" spans="1:23">
      <c r="A9" s="15"/>
      <c r="B9" s="14"/>
      <c r="C9" s="12" t="s">
        <v>22</v>
      </c>
      <c r="D9" s="79" t="s">
        <v>4</v>
      </c>
      <c r="E9" s="16">
        <v>1742</v>
      </c>
      <c r="F9" s="16">
        <v>1339</v>
      </c>
      <c r="G9" s="16">
        <v>0</v>
      </c>
      <c r="H9" s="16">
        <v>3960</v>
      </c>
      <c r="I9" s="16">
        <v>3376</v>
      </c>
      <c r="J9" s="16">
        <v>0</v>
      </c>
      <c r="K9" s="16">
        <v>0</v>
      </c>
      <c r="L9" s="16">
        <v>0</v>
      </c>
      <c r="M9" s="16">
        <v>10417</v>
      </c>
      <c r="N9" s="11"/>
    </row>
    <row r="10" spans="1:23">
      <c r="A10" s="15"/>
      <c r="B10" s="14"/>
      <c r="C10" s="12"/>
      <c r="D10" s="79"/>
      <c r="E10" s="11"/>
      <c r="F10" s="11"/>
      <c r="G10" s="11"/>
      <c r="H10" s="11"/>
      <c r="I10" s="11"/>
      <c r="J10" s="11"/>
      <c r="K10" s="11"/>
      <c r="L10" s="11"/>
      <c r="M10" s="11"/>
      <c r="N10" s="11"/>
    </row>
    <row r="11" spans="1:23">
      <c r="A11" s="18"/>
      <c r="B11" s="19" t="s">
        <v>21</v>
      </c>
      <c r="C11" s="12"/>
      <c r="D11" s="79" t="s">
        <v>4</v>
      </c>
      <c r="E11" s="16">
        <v>681</v>
      </c>
      <c r="F11" s="16">
        <v>37</v>
      </c>
      <c r="G11" s="16">
        <v>5188</v>
      </c>
      <c r="H11" s="16">
        <v>96</v>
      </c>
      <c r="I11" s="16">
        <v>3342</v>
      </c>
      <c r="J11" s="16">
        <v>79</v>
      </c>
      <c r="K11" s="16">
        <v>1472</v>
      </c>
      <c r="L11" s="16">
        <v>0</v>
      </c>
      <c r="M11" s="16">
        <v>10895</v>
      </c>
      <c r="N11" s="11"/>
    </row>
    <row r="12" spans="1:23">
      <c r="A12" s="18"/>
      <c r="B12" s="19" t="s">
        <v>20</v>
      </c>
      <c r="C12" s="12"/>
      <c r="D12" s="79" t="s">
        <v>4</v>
      </c>
      <c r="E12" s="16">
        <v>1366</v>
      </c>
      <c r="F12" s="16">
        <v>18</v>
      </c>
      <c r="G12" s="16">
        <v>544</v>
      </c>
      <c r="H12" s="16">
        <v>65</v>
      </c>
      <c r="I12" s="16">
        <v>0.1</v>
      </c>
      <c r="J12" s="16">
        <v>1</v>
      </c>
      <c r="K12" s="16">
        <v>0</v>
      </c>
      <c r="L12" s="16">
        <v>0</v>
      </c>
      <c r="M12" s="16">
        <v>1994.1</v>
      </c>
      <c r="N12" s="11"/>
    </row>
    <row r="13" spans="1:23">
      <c r="A13" s="18"/>
      <c r="B13" s="19" t="s">
        <v>19</v>
      </c>
      <c r="C13" s="12"/>
      <c r="D13" s="79" t="s">
        <v>4</v>
      </c>
      <c r="E13" s="16">
        <v>466</v>
      </c>
      <c r="F13" s="16">
        <v>54</v>
      </c>
      <c r="G13" s="16">
        <v>175</v>
      </c>
      <c r="H13" s="16">
        <v>260</v>
      </c>
      <c r="I13" s="16">
        <v>90</v>
      </c>
      <c r="J13" s="16">
        <v>6</v>
      </c>
      <c r="K13" s="16">
        <v>33</v>
      </c>
      <c r="L13" s="16">
        <v>1</v>
      </c>
      <c r="M13" s="16">
        <v>1085</v>
      </c>
      <c r="N13" s="11"/>
    </row>
    <row r="14" spans="1:23">
      <c r="A14" s="18"/>
      <c r="B14" s="19" t="s">
        <v>18</v>
      </c>
      <c r="C14" s="12"/>
      <c r="D14" s="79" t="s">
        <v>4</v>
      </c>
      <c r="E14" s="16">
        <v>8</v>
      </c>
      <c r="F14" s="16">
        <v>3</v>
      </c>
      <c r="G14" s="16">
        <v>493</v>
      </c>
      <c r="H14" s="16">
        <v>19</v>
      </c>
      <c r="I14" s="16">
        <v>196</v>
      </c>
      <c r="J14" s="16">
        <v>0</v>
      </c>
      <c r="K14" s="16">
        <v>392</v>
      </c>
      <c r="L14" s="16">
        <v>0</v>
      </c>
      <c r="M14" s="16">
        <v>1111</v>
      </c>
      <c r="N14" s="11"/>
    </row>
    <row r="15" spans="1:23">
      <c r="A15" s="18"/>
      <c r="B15" s="19" t="s">
        <v>17</v>
      </c>
      <c r="C15" s="12"/>
      <c r="D15" s="79" t="s">
        <v>4</v>
      </c>
      <c r="E15" s="16">
        <v>67</v>
      </c>
      <c r="F15" s="16">
        <v>23</v>
      </c>
      <c r="G15" s="16">
        <v>5946</v>
      </c>
      <c r="H15" s="16">
        <v>25</v>
      </c>
      <c r="I15" s="16">
        <v>89</v>
      </c>
      <c r="J15" s="16">
        <v>24</v>
      </c>
      <c r="K15" s="16">
        <v>1019</v>
      </c>
      <c r="L15" s="16">
        <v>0</v>
      </c>
      <c r="M15" s="16">
        <v>7193</v>
      </c>
      <c r="N15" s="11"/>
    </row>
    <row r="16" spans="1:23">
      <c r="A16" s="18"/>
      <c r="B16" s="19" t="s">
        <v>16</v>
      </c>
      <c r="C16" s="12"/>
      <c r="D16" s="79" t="s">
        <v>4</v>
      </c>
      <c r="E16" s="16">
        <v>614</v>
      </c>
      <c r="F16" s="16">
        <v>36</v>
      </c>
      <c r="G16" s="16">
        <v>1854</v>
      </c>
      <c r="H16" s="16">
        <v>0</v>
      </c>
      <c r="I16" s="16">
        <v>0.2</v>
      </c>
      <c r="J16" s="16">
        <v>686</v>
      </c>
      <c r="K16" s="16">
        <v>251</v>
      </c>
      <c r="L16" s="16">
        <v>0</v>
      </c>
      <c r="M16" s="16">
        <v>3441.2</v>
      </c>
      <c r="N16" s="11"/>
      <c r="O16" s="11"/>
      <c r="P16" s="11"/>
      <c r="Q16" s="11"/>
      <c r="R16" s="11"/>
      <c r="S16" s="11"/>
      <c r="T16" s="11"/>
      <c r="U16" s="11"/>
      <c r="V16" s="11"/>
      <c r="W16" s="11"/>
    </row>
    <row r="17" spans="1:23">
      <c r="A17" s="18"/>
      <c r="B17" s="19" t="s">
        <v>15</v>
      </c>
      <c r="C17" s="12"/>
      <c r="D17" s="79" t="s">
        <v>4</v>
      </c>
      <c r="E17" s="16">
        <v>1017</v>
      </c>
      <c r="F17" s="16">
        <v>379</v>
      </c>
      <c r="G17" s="16">
        <v>2168</v>
      </c>
      <c r="H17" s="16">
        <v>58</v>
      </c>
      <c r="I17" s="16">
        <v>315</v>
      </c>
      <c r="J17" s="16">
        <v>59</v>
      </c>
      <c r="K17" s="16">
        <v>704</v>
      </c>
      <c r="L17" s="16">
        <v>0.2</v>
      </c>
      <c r="M17" s="16">
        <v>4700.2</v>
      </c>
      <c r="N17" s="11"/>
      <c r="O17" s="11"/>
      <c r="P17" s="11"/>
      <c r="Q17" s="11"/>
      <c r="R17" s="11"/>
      <c r="S17" s="11"/>
      <c r="T17" s="11"/>
      <c r="U17" s="11"/>
      <c r="V17" s="11"/>
      <c r="W17" s="11"/>
    </row>
    <row r="18" spans="1:23">
      <c r="A18" s="18"/>
      <c r="B18" s="17" t="s">
        <v>5</v>
      </c>
      <c r="C18" s="12"/>
      <c r="D18" s="79" t="s">
        <v>4</v>
      </c>
      <c r="E18" s="16">
        <v>19884</v>
      </c>
      <c r="F18" s="16">
        <v>7790</v>
      </c>
      <c r="G18" s="16">
        <v>51750</v>
      </c>
      <c r="H18" s="16">
        <v>4864</v>
      </c>
      <c r="I18" s="16">
        <v>20410.3</v>
      </c>
      <c r="J18" s="16">
        <v>3392</v>
      </c>
      <c r="K18" s="16">
        <v>23280</v>
      </c>
      <c r="L18" s="16">
        <v>130.19999999999999</v>
      </c>
      <c r="M18" s="16">
        <v>131500.5</v>
      </c>
      <c r="N18" s="11"/>
      <c r="O18" s="11"/>
      <c r="P18" s="11"/>
      <c r="Q18" s="11"/>
      <c r="R18" s="11"/>
      <c r="S18" s="11"/>
      <c r="T18" s="11"/>
      <c r="U18" s="11"/>
      <c r="V18" s="11"/>
      <c r="W18" s="11"/>
    </row>
    <row r="19" spans="1:23">
      <c r="A19" s="18"/>
      <c r="B19" s="19"/>
      <c r="C19" s="12"/>
      <c r="D19" s="79"/>
      <c r="E19" s="11"/>
      <c r="F19" s="11"/>
      <c r="G19" s="11"/>
      <c r="H19" s="11"/>
      <c r="I19" s="11"/>
      <c r="J19" s="11"/>
      <c r="K19" s="11"/>
      <c r="L19" s="11"/>
      <c r="M19" s="11"/>
      <c r="N19" s="11"/>
      <c r="O19" s="11"/>
      <c r="P19" s="11"/>
      <c r="Q19" s="11"/>
      <c r="R19" s="11"/>
      <c r="S19" s="11"/>
      <c r="T19" s="11"/>
      <c r="U19" s="11"/>
      <c r="V19" s="11"/>
      <c r="W19" s="11"/>
    </row>
    <row r="20" spans="1:23">
      <c r="A20" s="18" t="s">
        <v>14</v>
      </c>
      <c r="B20" s="18"/>
      <c r="C20" s="12"/>
      <c r="D20" s="79"/>
      <c r="E20" s="11"/>
      <c r="F20" s="11"/>
      <c r="G20" s="11"/>
      <c r="H20" s="11"/>
      <c r="I20" s="11"/>
      <c r="J20" s="11"/>
      <c r="K20" s="11"/>
      <c r="L20" s="11"/>
      <c r="M20" s="11"/>
      <c r="N20" s="11"/>
      <c r="O20" s="11"/>
      <c r="P20" s="11"/>
      <c r="Q20" s="11"/>
      <c r="R20" s="11"/>
      <c r="S20" s="11"/>
      <c r="T20" s="11"/>
      <c r="U20" s="11"/>
      <c r="V20" s="11"/>
      <c r="W20" s="11"/>
    </row>
    <row r="21" spans="1:23">
      <c r="A21" s="18"/>
      <c r="B21" s="20" t="s">
        <v>13</v>
      </c>
      <c r="C21" s="12"/>
      <c r="D21" s="79"/>
      <c r="E21" s="11"/>
      <c r="F21" s="11"/>
      <c r="G21" s="11"/>
      <c r="H21" s="11"/>
      <c r="I21" s="11"/>
      <c r="J21" s="11"/>
      <c r="K21" s="11"/>
      <c r="L21" s="11"/>
      <c r="M21" s="11"/>
      <c r="N21" s="11"/>
      <c r="O21" s="11"/>
      <c r="P21" s="11"/>
      <c r="Q21" s="11"/>
      <c r="R21" s="11"/>
      <c r="S21" s="11"/>
      <c r="T21" s="11"/>
      <c r="U21" s="11"/>
      <c r="V21" s="11"/>
      <c r="W21" s="11"/>
    </row>
    <row r="22" spans="1:23">
      <c r="A22" s="18"/>
      <c r="B22" s="19"/>
      <c r="C22" s="13" t="s">
        <v>12</v>
      </c>
      <c r="D22" s="79" t="s">
        <v>4</v>
      </c>
      <c r="E22" s="16">
        <v>1857</v>
      </c>
      <c r="F22" s="16">
        <v>3162</v>
      </c>
      <c r="G22" s="16">
        <v>2948</v>
      </c>
      <c r="H22" s="16">
        <v>16</v>
      </c>
      <c r="I22" s="16">
        <v>1294</v>
      </c>
      <c r="J22" s="16">
        <v>645</v>
      </c>
      <c r="K22" s="16">
        <v>0</v>
      </c>
      <c r="L22" s="16">
        <v>5</v>
      </c>
      <c r="M22" s="16">
        <v>9927</v>
      </c>
      <c r="N22" s="11"/>
      <c r="O22" s="11"/>
      <c r="P22" s="11"/>
      <c r="Q22" s="11"/>
      <c r="R22" s="11"/>
      <c r="S22" s="11"/>
      <c r="T22" s="11"/>
      <c r="U22" s="11"/>
      <c r="V22" s="11"/>
      <c r="W22" s="11"/>
    </row>
    <row r="23" spans="1:23">
      <c r="A23" s="18"/>
      <c r="B23" s="19"/>
      <c r="C23" s="13" t="s">
        <v>11</v>
      </c>
      <c r="D23" s="79" t="s">
        <v>4</v>
      </c>
      <c r="E23" s="16">
        <v>5637</v>
      </c>
      <c r="F23" s="16">
        <v>3456</v>
      </c>
      <c r="G23" s="16">
        <v>4236</v>
      </c>
      <c r="H23" s="16">
        <v>1756</v>
      </c>
      <c r="I23" s="16">
        <v>5292</v>
      </c>
      <c r="J23" s="16">
        <v>1532</v>
      </c>
      <c r="K23" s="16">
        <v>11</v>
      </c>
      <c r="L23" s="16">
        <v>117</v>
      </c>
      <c r="M23" s="16">
        <v>22037</v>
      </c>
      <c r="N23" s="11"/>
      <c r="O23" s="11"/>
      <c r="P23" s="11"/>
      <c r="Q23" s="11"/>
      <c r="R23" s="11"/>
      <c r="S23" s="11"/>
      <c r="T23" s="11"/>
      <c r="U23" s="11"/>
      <c r="V23" s="11"/>
      <c r="W23" s="11"/>
    </row>
    <row r="24" spans="1:23">
      <c r="A24" s="18"/>
      <c r="B24" s="19"/>
      <c r="C24" s="13" t="s">
        <v>10</v>
      </c>
      <c r="D24" s="79" t="s">
        <v>4</v>
      </c>
      <c r="E24" s="16">
        <v>829</v>
      </c>
      <c r="F24" s="16">
        <v>127</v>
      </c>
      <c r="G24" s="16">
        <v>932</v>
      </c>
      <c r="H24" s="16">
        <v>72</v>
      </c>
      <c r="I24" s="16">
        <v>6938</v>
      </c>
      <c r="J24" s="16">
        <v>377</v>
      </c>
      <c r="K24" s="16">
        <v>486</v>
      </c>
      <c r="L24" s="16">
        <v>0.5</v>
      </c>
      <c r="M24" s="16">
        <v>9761.5</v>
      </c>
      <c r="N24" s="11"/>
      <c r="O24" s="11"/>
      <c r="P24" s="11"/>
      <c r="Q24" s="11"/>
      <c r="R24" s="11"/>
      <c r="S24" s="11"/>
      <c r="T24" s="11"/>
      <c r="U24" s="11"/>
      <c r="V24" s="11"/>
      <c r="W24" s="11"/>
    </row>
    <row r="25" spans="1:23">
      <c r="A25" s="18"/>
      <c r="B25" s="19"/>
      <c r="C25" s="13" t="s">
        <v>9</v>
      </c>
      <c r="D25" s="79" t="s">
        <v>4</v>
      </c>
      <c r="E25" s="16">
        <v>3913</v>
      </c>
      <c r="F25" s="16">
        <v>0.2</v>
      </c>
      <c r="G25" s="16">
        <v>27428</v>
      </c>
      <c r="H25" s="16">
        <v>1406</v>
      </c>
      <c r="I25" s="16">
        <v>5414</v>
      </c>
      <c r="J25" s="16">
        <v>8</v>
      </c>
      <c r="K25" s="16">
        <v>9749</v>
      </c>
      <c r="L25" s="16">
        <v>8</v>
      </c>
      <c r="M25" s="16">
        <v>47926.2</v>
      </c>
      <c r="N25" s="11"/>
      <c r="O25" s="11"/>
      <c r="P25" s="11"/>
      <c r="Q25" s="11"/>
      <c r="R25" s="11"/>
      <c r="S25" s="11"/>
      <c r="T25" s="11"/>
      <c r="U25" s="11"/>
      <c r="V25" s="11"/>
      <c r="W25" s="11"/>
    </row>
    <row r="26" spans="1:23">
      <c r="A26" s="18"/>
      <c r="B26" s="19"/>
      <c r="C26" s="13" t="s">
        <v>8</v>
      </c>
      <c r="D26" s="79" t="s">
        <v>4</v>
      </c>
      <c r="E26" s="16">
        <v>12236</v>
      </c>
      <c r="F26" s="16">
        <v>6745.2</v>
      </c>
      <c r="G26" s="16">
        <v>35544</v>
      </c>
      <c r="H26" s="16">
        <v>3250</v>
      </c>
      <c r="I26" s="16">
        <v>18938</v>
      </c>
      <c r="J26" s="16">
        <v>2562</v>
      </c>
      <c r="K26" s="16">
        <v>10246</v>
      </c>
      <c r="L26" s="16">
        <v>130.5</v>
      </c>
      <c r="M26" s="16">
        <v>89651.7</v>
      </c>
      <c r="N26" s="11"/>
      <c r="O26" s="11"/>
      <c r="P26" s="11"/>
      <c r="Q26" s="11"/>
      <c r="R26" s="11"/>
      <c r="S26" s="11"/>
      <c r="T26" s="11"/>
      <c r="U26" s="11"/>
      <c r="V26" s="11"/>
      <c r="W26" s="11"/>
    </row>
    <row r="27" spans="1:23">
      <c r="A27" s="18"/>
      <c r="B27" s="17" t="s">
        <v>7</v>
      </c>
      <c r="C27" s="12"/>
      <c r="D27" s="79" t="s">
        <v>4</v>
      </c>
      <c r="E27" s="16">
        <v>7580</v>
      </c>
      <c r="F27" s="16">
        <v>1044</v>
      </c>
      <c r="G27" s="16">
        <v>16081</v>
      </c>
      <c r="H27" s="16">
        <v>1613</v>
      </c>
      <c r="I27" s="16">
        <v>1471</v>
      </c>
      <c r="J27" s="16">
        <v>831</v>
      </c>
      <c r="K27" s="16">
        <v>13011</v>
      </c>
      <c r="L27" s="16">
        <v>0</v>
      </c>
      <c r="M27" s="16">
        <v>41631</v>
      </c>
      <c r="N27" s="11"/>
      <c r="O27" s="11"/>
      <c r="P27" s="11"/>
      <c r="Q27" s="11"/>
      <c r="R27" s="11"/>
      <c r="S27" s="11"/>
      <c r="T27" s="11"/>
      <c r="U27" s="11"/>
      <c r="V27" s="11"/>
      <c r="W27" s="11"/>
    </row>
    <row r="28" spans="1:23">
      <c r="A28" s="18"/>
      <c r="B28" s="17" t="s">
        <v>6</v>
      </c>
      <c r="C28" s="12"/>
      <c r="D28" s="79" t="s">
        <v>4</v>
      </c>
      <c r="E28" s="16">
        <v>66</v>
      </c>
      <c r="F28" s="16">
        <v>0</v>
      </c>
      <c r="G28" s="16">
        <v>126</v>
      </c>
      <c r="H28" s="16">
        <v>3</v>
      </c>
      <c r="I28" s="16">
        <v>0</v>
      </c>
      <c r="J28" s="16">
        <v>0</v>
      </c>
      <c r="K28" s="16">
        <v>23</v>
      </c>
      <c r="L28" s="16">
        <v>0</v>
      </c>
      <c r="M28" s="16">
        <v>218</v>
      </c>
      <c r="N28" s="11"/>
      <c r="O28" s="11"/>
      <c r="P28" s="11"/>
      <c r="Q28" s="11"/>
      <c r="R28" s="11"/>
      <c r="S28" s="11"/>
      <c r="T28" s="11"/>
      <c r="U28" s="11"/>
      <c r="V28" s="11"/>
      <c r="W28" s="11"/>
    </row>
    <row r="29" spans="1:23">
      <c r="A29" s="29"/>
      <c r="B29" s="30" t="s">
        <v>5</v>
      </c>
      <c r="C29" s="31"/>
      <c r="D29" s="59" t="s">
        <v>4</v>
      </c>
      <c r="E29" s="32">
        <v>19882</v>
      </c>
      <c r="F29" s="32">
        <v>7789.2</v>
      </c>
      <c r="G29" s="32">
        <v>51751</v>
      </c>
      <c r="H29" s="32">
        <v>4866</v>
      </c>
      <c r="I29" s="32">
        <v>20409</v>
      </c>
      <c r="J29" s="32">
        <v>3393</v>
      </c>
      <c r="K29" s="32">
        <v>23280</v>
      </c>
      <c r="L29" s="32">
        <v>130.5</v>
      </c>
      <c r="M29" s="32">
        <v>131500.70000000001</v>
      </c>
      <c r="N29" s="11"/>
      <c r="O29" s="11"/>
      <c r="P29" s="11"/>
      <c r="Q29" s="11"/>
      <c r="R29" s="11"/>
      <c r="S29" s="11"/>
      <c r="T29" s="11"/>
      <c r="U29" s="11"/>
      <c r="V29" s="11"/>
      <c r="W29" s="11"/>
    </row>
    <row r="30" spans="1:23" ht="115.5" customHeight="1">
      <c r="A30" s="15"/>
      <c r="B30" s="14"/>
      <c r="C30" s="12"/>
      <c r="D30" s="11"/>
      <c r="E30" s="166" t="s">
        <v>419</v>
      </c>
      <c r="F30" s="166"/>
      <c r="G30" s="166"/>
      <c r="H30" s="166"/>
      <c r="I30" s="166"/>
      <c r="J30" s="166"/>
      <c r="K30" s="166"/>
      <c r="L30" s="166"/>
      <c r="M30" s="166"/>
      <c r="N30" s="11"/>
      <c r="O30" s="11"/>
      <c r="P30" s="11"/>
      <c r="Q30" s="11"/>
      <c r="R30" s="11"/>
      <c r="S30" s="11"/>
      <c r="T30" s="11"/>
      <c r="U30" s="11"/>
      <c r="V30" s="11"/>
      <c r="W30" s="11"/>
    </row>
    <row r="31" spans="1:23">
      <c r="A31" s="15"/>
      <c r="B31" s="14"/>
      <c r="C31" s="12"/>
      <c r="D31" s="11"/>
      <c r="E31" s="28"/>
      <c r="F31" s="28"/>
      <c r="G31" s="28"/>
      <c r="H31" s="28"/>
      <c r="I31" s="28"/>
      <c r="J31" s="28"/>
      <c r="K31" s="28"/>
      <c r="L31" s="28"/>
      <c r="M31" s="28"/>
      <c r="N31" s="11"/>
      <c r="O31" s="11"/>
      <c r="P31" s="11"/>
      <c r="Q31" s="11"/>
      <c r="R31" s="11"/>
      <c r="S31" s="11"/>
      <c r="T31" s="11"/>
      <c r="U31" s="11"/>
      <c r="V31" s="11"/>
      <c r="W31" s="11"/>
    </row>
    <row r="32" spans="1:23">
      <c r="A32" s="15"/>
      <c r="B32" s="14"/>
      <c r="C32" s="12"/>
      <c r="D32" s="11"/>
      <c r="E32" s="28"/>
      <c r="F32" s="28"/>
      <c r="G32" s="28"/>
      <c r="H32" s="28"/>
      <c r="I32" s="28"/>
      <c r="J32" s="28"/>
      <c r="K32" s="28"/>
      <c r="L32" s="28"/>
      <c r="M32" s="28"/>
      <c r="N32" s="11"/>
      <c r="O32" s="11"/>
      <c r="P32" s="11"/>
      <c r="Q32" s="11"/>
      <c r="R32" s="11"/>
      <c r="S32" s="11"/>
      <c r="T32" s="11"/>
      <c r="U32" s="11"/>
      <c r="V32" s="11"/>
      <c r="W32" s="11"/>
    </row>
    <row r="33" spans="2:23">
      <c r="B33" s="13"/>
      <c r="C33" s="12"/>
      <c r="D33" s="11"/>
      <c r="E33" s="28"/>
      <c r="F33" s="28"/>
      <c r="G33" s="28"/>
      <c r="H33" s="28"/>
      <c r="I33" s="28"/>
      <c r="J33" s="28"/>
      <c r="K33" s="28"/>
      <c r="L33" s="28"/>
      <c r="M33" s="28"/>
      <c r="N33" s="11"/>
      <c r="O33" s="11"/>
      <c r="P33" s="11"/>
      <c r="Q33" s="11"/>
      <c r="R33" s="11"/>
      <c r="S33" s="11"/>
      <c r="T33" s="11"/>
      <c r="U33" s="11"/>
      <c r="V33" s="11"/>
      <c r="W33" s="11"/>
    </row>
    <row r="34" spans="2:23">
      <c r="B34" s="13"/>
      <c r="C34" s="12"/>
      <c r="D34" s="11"/>
      <c r="E34" s="28"/>
      <c r="F34" s="28"/>
      <c r="G34" s="28"/>
      <c r="H34" s="28"/>
      <c r="I34" s="28"/>
      <c r="J34" s="28"/>
      <c r="K34" s="28"/>
      <c r="L34" s="28"/>
      <c r="M34" s="28"/>
      <c r="N34" s="11"/>
      <c r="O34" s="11"/>
      <c r="P34" s="11"/>
      <c r="Q34" s="11"/>
      <c r="R34" s="11"/>
      <c r="S34" s="11"/>
      <c r="T34" s="11"/>
      <c r="U34" s="11"/>
      <c r="V34" s="11"/>
      <c r="W34" s="11"/>
    </row>
    <row r="35" spans="2:23">
      <c r="B35" s="13"/>
      <c r="C35" s="12"/>
      <c r="D35" s="11"/>
      <c r="E35" s="28"/>
      <c r="F35" s="28"/>
      <c r="G35" s="28"/>
      <c r="H35" s="28"/>
      <c r="I35" s="28"/>
      <c r="J35" s="28"/>
      <c r="K35" s="28"/>
      <c r="L35" s="28"/>
      <c r="M35" s="28"/>
      <c r="N35" s="11"/>
      <c r="O35" s="11"/>
      <c r="P35" s="11"/>
      <c r="Q35" s="11"/>
      <c r="R35" s="11"/>
      <c r="S35" s="11"/>
      <c r="T35" s="11"/>
      <c r="U35" s="11"/>
      <c r="V35" s="11"/>
      <c r="W35" s="11"/>
    </row>
    <row r="36" spans="2:23">
      <c r="B36" s="13"/>
      <c r="C36" s="12"/>
      <c r="D36" s="11"/>
      <c r="E36" s="28"/>
      <c r="F36" s="28"/>
      <c r="G36" s="28"/>
      <c r="H36" s="28"/>
      <c r="I36" s="28"/>
      <c r="J36" s="28"/>
      <c r="K36" s="28"/>
      <c r="L36" s="28"/>
      <c r="M36" s="28"/>
      <c r="N36" s="11"/>
      <c r="O36" s="11"/>
      <c r="P36" s="11"/>
      <c r="Q36" s="11"/>
      <c r="R36" s="11"/>
      <c r="S36" s="11"/>
      <c r="T36" s="11"/>
      <c r="U36" s="11"/>
      <c r="V36" s="11"/>
      <c r="W36" s="11"/>
    </row>
    <row r="37" spans="2:23">
      <c r="B37" s="13"/>
      <c r="C37" s="12"/>
      <c r="D37" s="11"/>
      <c r="E37" s="28"/>
      <c r="F37" s="28"/>
      <c r="G37" s="28"/>
      <c r="H37" s="28"/>
      <c r="I37" s="28"/>
      <c r="J37" s="28"/>
      <c r="K37" s="28"/>
      <c r="L37" s="28"/>
      <c r="M37" s="28"/>
      <c r="N37" s="11"/>
      <c r="O37" s="11"/>
      <c r="P37" s="11"/>
      <c r="Q37" s="11"/>
      <c r="R37" s="11"/>
      <c r="S37" s="11"/>
      <c r="T37" s="11"/>
      <c r="U37" s="11"/>
      <c r="V37" s="11"/>
      <c r="W37" s="11"/>
    </row>
    <row r="38" spans="2:23">
      <c r="B38" s="13"/>
      <c r="C38" s="12"/>
      <c r="D38" s="11"/>
      <c r="E38" s="11"/>
      <c r="F38" s="11"/>
      <c r="G38" s="11"/>
      <c r="H38" s="11"/>
      <c r="I38" s="11"/>
      <c r="J38" s="11"/>
      <c r="K38" s="11"/>
      <c r="L38" s="11"/>
      <c r="M38" s="11"/>
      <c r="N38" s="11"/>
      <c r="O38" s="11"/>
      <c r="P38" s="11"/>
      <c r="Q38" s="11"/>
      <c r="R38" s="11"/>
      <c r="S38" s="11"/>
      <c r="T38" s="11"/>
      <c r="U38" s="11"/>
      <c r="V38" s="11"/>
      <c r="W38" s="11"/>
    </row>
    <row r="39" spans="2:23">
      <c r="B39" s="13"/>
      <c r="C39" s="12"/>
      <c r="D39" s="11"/>
      <c r="E39" s="11"/>
      <c r="F39" s="11"/>
      <c r="G39" s="11"/>
      <c r="H39" s="11"/>
      <c r="I39" s="11"/>
      <c r="J39" s="11"/>
      <c r="K39" s="11"/>
      <c r="L39" s="11"/>
      <c r="M39" s="11"/>
      <c r="N39" s="11"/>
      <c r="O39" s="11"/>
      <c r="P39" s="11"/>
      <c r="Q39" s="11"/>
      <c r="R39" s="11"/>
      <c r="S39" s="11"/>
      <c r="T39" s="11"/>
      <c r="U39" s="11"/>
      <c r="V39" s="11"/>
      <c r="W39" s="11"/>
    </row>
    <row r="40" spans="2:23">
      <c r="B40" s="13"/>
      <c r="C40" s="12"/>
      <c r="D40" s="11"/>
      <c r="E40" s="11"/>
      <c r="F40" s="11"/>
      <c r="G40" s="11"/>
      <c r="H40" s="11"/>
      <c r="I40" s="11"/>
      <c r="J40" s="11"/>
      <c r="K40" s="11"/>
      <c r="L40" s="11"/>
      <c r="M40" s="11"/>
      <c r="N40" s="11"/>
      <c r="O40" s="11"/>
      <c r="P40" s="11"/>
      <c r="Q40" s="11"/>
      <c r="R40" s="11"/>
      <c r="S40" s="11"/>
      <c r="T40" s="11"/>
      <c r="U40" s="11"/>
      <c r="V40" s="11"/>
      <c r="W40" s="11"/>
    </row>
    <row r="41" spans="2:23">
      <c r="B41" s="13"/>
      <c r="C41" s="12"/>
      <c r="D41" s="11"/>
      <c r="E41" s="11"/>
      <c r="F41" s="11"/>
      <c r="G41" s="11"/>
      <c r="H41" s="11"/>
      <c r="I41" s="11"/>
      <c r="J41" s="11"/>
      <c r="K41" s="11"/>
      <c r="L41" s="11"/>
      <c r="M41" s="11"/>
      <c r="N41" s="11"/>
      <c r="O41" s="11"/>
      <c r="P41" s="11"/>
      <c r="Q41" s="11"/>
      <c r="R41" s="11"/>
      <c r="S41" s="11"/>
      <c r="T41" s="11"/>
      <c r="U41" s="11"/>
      <c r="V41" s="11"/>
      <c r="W41" s="11"/>
    </row>
    <row r="42" spans="2:23">
      <c r="B42" s="13"/>
      <c r="C42" s="12"/>
      <c r="D42" s="11"/>
      <c r="E42" s="11"/>
      <c r="F42" s="11"/>
      <c r="G42" s="11"/>
      <c r="H42" s="11"/>
      <c r="I42" s="11"/>
      <c r="J42" s="11"/>
      <c r="K42" s="11"/>
      <c r="L42" s="11"/>
      <c r="M42" s="11"/>
      <c r="N42" s="11"/>
      <c r="O42" s="11"/>
      <c r="P42" s="11"/>
      <c r="Q42" s="11"/>
      <c r="R42" s="11"/>
      <c r="S42" s="11"/>
      <c r="T42" s="11"/>
      <c r="U42" s="11"/>
      <c r="V42" s="11"/>
      <c r="W42" s="11"/>
    </row>
    <row r="43" spans="2:23">
      <c r="B43" s="13"/>
      <c r="C43" s="12"/>
      <c r="D43" s="11"/>
      <c r="E43" s="11"/>
      <c r="F43" s="11"/>
      <c r="G43" s="11"/>
      <c r="H43" s="11"/>
      <c r="I43" s="11"/>
      <c r="J43" s="11"/>
      <c r="K43" s="11"/>
      <c r="L43" s="11"/>
      <c r="M43" s="11"/>
      <c r="N43" s="11"/>
      <c r="O43" s="11"/>
      <c r="P43" s="11"/>
      <c r="Q43" s="11"/>
      <c r="R43" s="11"/>
      <c r="S43" s="11"/>
      <c r="T43" s="11"/>
      <c r="U43" s="11"/>
      <c r="V43" s="11"/>
      <c r="W43" s="11"/>
    </row>
    <row r="44" spans="2:23">
      <c r="B44" s="13"/>
      <c r="C44" s="12"/>
      <c r="D44" s="11"/>
      <c r="E44" s="11"/>
      <c r="F44" s="11"/>
      <c r="G44" s="11"/>
      <c r="H44" s="11"/>
      <c r="I44" s="11"/>
      <c r="J44" s="11"/>
      <c r="K44" s="11"/>
      <c r="L44" s="11"/>
      <c r="M44" s="11"/>
      <c r="N44" s="11"/>
      <c r="O44" s="11"/>
      <c r="P44" s="11"/>
      <c r="Q44" s="11"/>
      <c r="R44" s="11"/>
      <c r="S44" s="11"/>
      <c r="T44" s="11"/>
      <c r="U44" s="11"/>
      <c r="V44" s="11"/>
      <c r="W44" s="11"/>
    </row>
    <row r="45" spans="2:23">
      <c r="B45" s="13"/>
      <c r="C45" s="12"/>
      <c r="D45" s="11"/>
      <c r="E45" s="11"/>
      <c r="F45" s="11"/>
      <c r="G45" s="11"/>
      <c r="H45" s="11"/>
      <c r="I45" s="11"/>
      <c r="J45" s="11"/>
      <c r="K45" s="11"/>
      <c r="L45" s="11"/>
      <c r="M45" s="11"/>
      <c r="N45" s="11"/>
      <c r="O45" s="11"/>
      <c r="P45" s="11"/>
      <c r="Q45" s="11"/>
      <c r="R45" s="11"/>
      <c r="S45" s="11"/>
      <c r="T45" s="11"/>
      <c r="U45" s="11"/>
      <c r="V45" s="11"/>
      <c r="W45" s="11"/>
    </row>
    <row r="46" spans="2:23">
      <c r="B46" s="13"/>
      <c r="C46" s="12"/>
      <c r="D46" s="11"/>
      <c r="E46" s="11"/>
      <c r="F46" s="11"/>
      <c r="G46" s="11"/>
      <c r="H46" s="11"/>
      <c r="I46" s="11"/>
      <c r="J46" s="11"/>
      <c r="K46" s="11"/>
      <c r="L46" s="11"/>
      <c r="M46" s="11"/>
      <c r="N46" s="11"/>
      <c r="O46" s="11"/>
      <c r="P46" s="11"/>
      <c r="Q46" s="11"/>
      <c r="R46" s="11"/>
      <c r="S46" s="11"/>
      <c r="T46" s="11"/>
      <c r="U46" s="11"/>
      <c r="V46" s="11"/>
      <c r="W46" s="11"/>
    </row>
    <row r="47" spans="2:23">
      <c r="B47" s="13"/>
      <c r="C47" s="12"/>
      <c r="D47" s="11"/>
      <c r="E47" s="11"/>
      <c r="F47" s="11"/>
      <c r="G47" s="11"/>
      <c r="H47" s="11"/>
      <c r="I47" s="11"/>
      <c r="J47" s="11"/>
      <c r="K47" s="11"/>
      <c r="L47" s="11"/>
      <c r="M47" s="11"/>
      <c r="N47" s="11"/>
      <c r="O47" s="11"/>
      <c r="P47" s="11"/>
      <c r="Q47" s="11"/>
      <c r="R47" s="11"/>
      <c r="S47" s="11"/>
      <c r="T47" s="11"/>
      <c r="U47" s="11"/>
      <c r="V47" s="11"/>
      <c r="W47" s="11"/>
    </row>
    <row r="48" spans="2:23">
      <c r="B48" s="13"/>
      <c r="C48" s="12"/>
      <c r="D48" s="11"/>
      <c r="E48" s="11"/>
      <c r="F48" s="11"/>
      <c r="G48" s="11"/>
      <c r="H48" s="11"/>
      <c r="I48" s="11"/>
      <c r="J48" s="11"/>
      <c r="K48" s="11"/>
      <c r="L48" s="11"/>
      <c r="M48" s="11"/>
      <c r="N48" s="11"/>
      <c r="O48" s="11"/>
      <c r="P48" s="11"/>
      <c r="Q48" s="11"/>
      <c r="R48" s="11"/>
      <c r="S48" s="11"/>
      <c r="T48" s="11"/>
      <c r="U48" s="11"/>
      <c r="V48" s="11"/>
      <c r="W48" s="11"/>
    </row>
    <row r="49" spans="2:23">
      <c r="B49" s="13"/>
      <c r="C49" s="12"/>
      <c r="D49" s="11"/>
      <c r="E49" s="11"/>
      <c r="F49" s="11"/>
      <c r="G49" s="11"/>
      <c r="H49" s="11"/>
      <c r="I49" s="11"/>
      <c r="J49" s="11"/>
      <c r="K49" s="11"/>
      <c r="L49" s="11"/>
      <c r="M49" s="11"/>
      <c r="N49" s="11"/>
      <c r="O49" s="11"/>
      <c r="P49" s="11"/>
      <c r="Q49" s="11"/>
      <c r="R49" s="11"/>
      <c r="S49" s="11"/>
      <c r="T49" s="11"/>
      <c r="U49" s="11"/>
      <c r="V49" s="11"/>
      <c r="W49" s="11"/>
    </row>
    <row r="50" spans="2:23">
      <c r="B50" s="13"/>
      <c r="C50" s="12"/>
      <c r="D50" s="11"/>
      <c r="E50" s="11"/>
      <c r="F50" s="11"/>
      <c r="G50" s="11"/>
      <c r="H50" s="11"/>
      <c r="I50" s="11"/>
      <c r="J50" s="11"/>
      <c r="K50" s="11"/>
      <c r="L50" s="11"/>
      <c r="M50" s="11"/>
      <c r="N50" s="11"/>
      <c r="O50" s="11"/>
      <c r="P50" s="11"/>
      <c r="Q50" s="11"/>
      <c r="R50" s="11"/>
      <c r="S50" s="11"/>
      <c r="T50" s="11"/>
      <c r="U50" s="11"/>
      <c r="V50" s="11"/>
      <c r="W50" s="11"/>
    </row>
    <row r="51" spans="2:23">
      <c r="B51" s="13"/>
      <c r="C51" s="12"/>
      <c r="D51" s="11"/>
      <c r="E51" s="11"/>
      <c r="F51" s="11"/>
      <c r="G51" s="11"/>
      <c r="H51" s="11"/>
      <c r="I51" s="11"/>
      <c r="J51" s="11"/>
      <c r="K51" s="11"/>
      <c r="L51" s="11"/>
      <c r="M51" s="11"/>
      <c r="N51" s="11"/>
      <c r="O51" s="11"/>
      <c r="P51" s="11"/>
      <c r="Q51" s="11"/>
      <c r="R51" s="11"/>
      <c r="S51" s="11"/>
      <c r="T51" s="11"/>
      <c r="U51" s="11"/>
      <c r="V51" s="11"/>
      <c r="W51" s="11"/>
    </row>
    <row r="52" spans="2:23">
      <c r="B52" s="13"/>
      <c r="C52" s="12"/>
      <c r="D52" s="11"/>
      <c r="E52" s="11"/>
      <c r="F52" s="11"/>
      <c r="G52" s="11"/>
      <c r="H52" s="11"/>
      <c r="I52" s="11"/>
      <c r="J52" s="11"/>
      <c r="K52" s="11"/>
      <c r="L52" s="11"/>
      <c r="M52" s="11"/>
      <c r="N52" s="11"/>
      <c r="O52" s="11"/>
      <c r="P52" s="11"/>
      <c r="Q52" s="11"/>
      <c r="R52" s="11"/>
      <c r="S52" s="11"/>
      <c r="T52" s="11"/>
      <c r="U52" s="11"/>
      <c r="V52" s="11"/>
      <c r="W52" s="11"/>
    </row>
    <row r="53" spans="2:23">
      <c r="B53" s="13"/>
      <c r="C53" s="12"/>
      <c r="D53" s="11"/>
      <c r="E53" s="11"/>
      <c r="F53" s="11"/>
      <c r="G53" s="11"/>
      <c r="H53" s="11"/>
      <c r="I53" s="11"/>
      <c r="J53" s="11"/>
      <c r="K53" s="11"/>
      <c r="L53" s="11"/>
      <c r="M53" s="11"/>
      <c r="N53" s="11"/>
      <c r="O53" s="11"/>
      <c r="P53" s="11"/>
      <c r="Q53" s="11"/>
      <c r="R53" s="11"/>
      <c r="S53" s="11"/>
      <c r="T53" s="11"/>
      <c r="U53" s="11"/>
      <c r="V53" s="11"/>
      <c r="W53" s="11"/>
    </row>
    <row r="54" spans="2:23">
      <c r="B54" s="13"/>
      <c r="C54" s="12"/>
      <c r="D54" s="11"/>
      <c r="E54" s="11"/>
      <c r="F54" s="11"/>
      <c r="G54" s="11"/>
      <c r="H54" s="11"/>
      <c r="I54" s="11"/>
      <c r="J54" s="11"/>
      <c r="K54" s="11"/>
      <c r="L54" s="11"/>
      <c r="M54" s="11"/>
      <c r="N54" s="11"/>
      <c r="O54" s="11"/>
      <c r="P54" s="11"/>
      <c r="Q54" s="11"/>
      <c r="R54" s="11"/>
      <c r="S54" s="11"/>
      <c r="T54" s="11"/>
      <c r="U54" s="11"/>
      <c r="V54" s="11"/>
      <c r="W54" s="11"/>
    </row>
    <row r="55" spans="2:23">
      <c r="B55" s="13"/>
      <c r="C55" s="12"/>
      <c r="D55" s="11"/>
      <c r="E55" s="11"/>
      <c r="F55" s="11"/>
      <c r="G55" s="11"/>
      <c r="H55" s="11"/>
      <c r="I55" s="11"/>
      <c r="J55" s="11"/>
      <c r="K55" s="11"/>
      <c r="L55" s="11"/>
      <c r="M55" s="11"/>
      <c r="N55" s="11"/>
      <c r="O55" s="11"/>
      <c r="P55" s="11"/>
      <c r="Q55" s="11"/>
      <c r="R55" s="11"/>
      <c r="S55" s="11"/>
      <c r="T55" s="11"/>
      <c r="U55" s="11"/>
      <c r="V55" s="11"/>
      <c r="W55" s="11"/>
    </row>
    <row r="56" spans="2:23">
      <c r="B56" s="13"/>
      <c r="C56" s="12"/>
      <c r="D56" s="11"/>
      <c r="E56" s="11"/>
      <c r="F56" s="11"/>
      <c r="G56" s="11"/>
      <c r="H56" s="11"/>
      <c r="I56" s="11"/>
      <c r="J56" s="11"/>
      <c r="K56" s="11"/>
      <c r="L56" s="11"/>
      <c r="M56" s="11"/>
      <c r="N56" s="11"/>
      <c r="O56" s="11"/>
      <c r="P56" s="11"/>
      <c r="Q56" s="11"/>
      <c r="R56" s="11"/>
      <c r="S56" s="11"/>
      <c r="T56" s="11"/>
      <c r="U56" s="11"/>
      <c r="V56" s="11"/>
      <c r="W56" s="11"/>
    </row>
    <row r="57" spans="2:23">
      <c r="B57" s="13"/>
      <c r="C57" s="12"/>
      <c r="D57" s="11"/>
      <c r="E57" s="11"/>
      <c r="F57" s="11"/>
      <c r="G57" s="11"/>
      <c r="H57" s="11"/>
      <c r="I57" s="11"/>
      <c r="J57" s="11"/>
      <c r="K57" s="11"/>
      <c r="L57" s="11"/>
      <c r="M57" s="11"/>
      <c r="N57" s="11"/>
      <c r="O57" s="11"/>
      <c r="P57" s="11"/>
      <c r="Q57" s="11"/>
      <c r="R57" s="11"/>
      <c r="S57" s="11"/>
      <c r="T57" s="11"/>
      <c r="U57" s="11"/>
      <c r="V57" s="11"/>
      <c r="W57" s="11"/>
    </row>
    <row r="58" spans="2:23">
      <c r="B58" s="13"/>
      <c r="C58" s="12"/>
      <c r="D58" s="11"/>
      <c r="E58" s="11"/>
      <c r="F58" s="11"/>
      <c r="G58" s="11"/>
      <c r="H58" s="11"/>
      <c r="I58" s="11"/>
      <c r="J58" s="11"/>
      <c r="K58" s="11"/>
      <c r="L58" s="11"/>
      <c r="M58" s="11"/>
      <c r="N58" s="11"/>
      <c r="O58" s="11"/>
      <c r="P58" s="11"/>
      <c r="Q58" s="11"/>
      <c r="R58" s="11"/>
      <c r="S58" s="11"/>
      <c r="T58" s="11"/>
      <c r="U58" s="11"/>
      <c r="V58" s="11"/>
      <c r="W58" s="11"/>
    </row>
    <row r="59" spans="2:23">
      <c r="B59" s="13"/>
      <c r="C59" s="12"/>
      <c r="D59" s="11"/>
      <c r="E59" s="11"/>
      <c r="F59" s="11"/>
      <c r="G59" s="11"/>
      <c r="H59" s="11"/>
      <c r="I59" s="11"/>
      <c r="J59" s="11"/>
      <c r="K59" s="11"/>
      <c r="L59" s="11"/>
      <c r="M59" s="11"/>
      <c r="N59" s="11"/>
      <c r="O59" s="11"/>
      <c r="P59" s="11"/>
      <c r="Q59" s="11"/>
      <c r="R59" s="11"/>
      <c r="S59" s="11"/>
      <c r="T59" s="11"/>
      <c r="U59" s="11"/>
      <c r="V59" s="11"/>
      <c r="W59" s="11"/>
    </row>
    <row r="60" spans="2:23">
      <c r="B60" s="13"/>
      <c r="C60" s="12"/>
      <c r="D60" s="11"/>
      <c r="E60" s="11"/>
      <c r="F60" s="11"/>
      <c r="G60" s="11"/>
      <c r="H60" s="11"/>
      <c r="I60" s="11"/>
      <c r="J60" s="11"/>
      <c r="K60" s="11"/>
      <c r="L60" s="11"/>
      <c r="M60" s="11"/>
      <c r="N60" s="11"/>
      <c r="O60" s="11"/>
      <c r="P60" s="11"/>
      <c r="Q60" s="11"/>
      <c r="R60" s="11"/>
      <c r="S60" s="11"/>
      <c r="T60" s="11"/>
      <c r="U60" s="11"/>
      <c r="V60" s="11"/>
      <c r="W60" s="11"/>
    </row>
    <row r="61" spans="2:23">
      <c r="B61" s="13"/>
      <c r="C61" s="12"/>
      <c r="D61" s="11"/>
      <c r="E61" s="11"/>
      <c r="F61" s="11"/>
      <c r="G61" s="11"/>
      <c r="H61" s="11"/>
      <c r="I61" s="11"/>
      <c r="J61" s="11"/>
      <c r="K61" s="11"/>
      <c r="L61" s="11"/>
      <c r="M61" s="11"/>
      <c r="N61" s="11"/>
      <c r="O61" s="11"/>
      <c r="P61" s="11"/>
      <c r="Q61" s="11"/>
      <c r="R61" s="11"/>
      <c r="S61" s="11"/>
      <c r="T61" s="11"/>
      <c r="U61" s="11"/>
      <c r="V61" s="11"/>
      <c r="W61" s="11"/>
    </row>
    <row r="62" spans="2:23">
      <c r="E62" s="164" t="s">
        <v>3</v>
      </c>
      <c r="F62" s="165"/>
      <c r="G62" s="165"/>
      <c r="H62" s="165"/>
      <c r="I62" s="165"/>
      <c r="J62" s="165"/>
      <c r="K62" s="165"/>
      <c r="L62" s="165"/>
      <c r="M62" s="165"/>
      <c r="N62" s="165"/>
      <c r="O62" s="165"/>
      <c r="P62" s="165"/>
      <c r="Q62" s="165"/>
      <c r="R62" s="165"/>
      <c r="S62" s="165"/>
      <c r="T62" s="165"/>
    </row>
    <row r="63" spans="2:23">
      <c r="B63" t="s">
        <v>2</v>
      </c>
      <c r="E63" s="165"/>
      <c r="F63" s="165"/>
      <c r="G63" s="165"/>
      <c r="H63" s="165"/>
      <c r="I63" s="165"/>
      <c r="J63" s="165"/>
      <c r="K63" s="165"/>
      <c r="L63" s="165"/>
      <c r="M63" s="165"/>
      <c r="N63" s="165"/>
      <c r="O63" s="165"/>
      <c r="P63" s="165"/>
      <c r="Q63" s="165"/>
      <c r="R63" s="165"/>
      <c r="S63" s="165"/>
      <c r="T63" s="165"/>
    </row>
    <row r="64" spans="2:23">
      <c r="B64" t="s">
        <v>2</v>
      </c>
      <c r="E64" s="165"/>
      <c r="F64" s="165"/>
      <c r="G64" s="165"/>
      <c r="H64" s="165"/>
      <c r="I64" s="165"/>
      <c r="J64" s="165"/>
      <c r="K64" s="165"/>
      <c r="L64" s="165"/>
      <c r="M64" s="165"/>
      <c r="N64" s="165"/>
      <c r="O64" s="165"/>
      <c r="P64" s="165"/>
      <c r="Q64" s="165"/>
      <c r="R64" s="165"/>
      <c r="S64" s="165"/>
      <c r="T64" s="165"/>
    </row>
    <row r="65" spans="2:20">
      <c r="B65" t="s">
        <v>2</v>
      </c>
      <c r="E65" s="165"/>
      <c r="F65" s="165"/>
      <c r="G65" s="165"/>
      <c r="H65" s="165"/>
      <c r="I65" s="165"/>
      <c r="J65" s="165"/>
      <c r="K65" s="165"/>
      <c r="L65" s="165"/>
      <c r="M65" s="165"/>
      <c r="N65" s="165"/>
      <c r="O65" s="165"/>
      <c r="P65" s="165"/>
      <c r="Q65" s="165"/>
      <c r="R65" s="165"/>
      <c r="S65" s="165"/>
      <c r="T65" s="165"/>
    </row>
    <row r="66" spans="2:20">
      <c r="B66" t="s">
        <v>2</v>
      </c>
      <c r="E66" s="165"/>
      <c r="F66" s="165"/>
      <c r="G66" s="165"/>
      <c r="H66" s="165"/>
      <c r="I66" s="165"/>
      <c r="J66" s="165"/>
      <c r="K66" s="165"/>
      <c r="L66" s="165"/>
      <c r="M66" s="165"/>
      <c r="N66" s="165"/>
      <c r="O66" s="165"/>
      <c r="P66" s="165"/>
      <c r="Q66" s="165"/>
      <c r="R66" s="165"/>
      <c r="S66" s="165"/>
      <c r="T66" s="165"/>
    </row>
    <row r="67" spans="2:20">
      <c r="B67" t="s">
        <v>2</v>
      </c>
    </row>
    <row r="68" spans="2:20">
      <c r="B68" t="s">
        <v>2</v>
      </c>
    </row>
    <row r="69" spans="2:20">
      <c r="B69" t="s">
        <v>2</v>
      </c>
    </row>
  </sheetData>
  <mergeCells count="3">
    <mergeCell ref="E62:T66"/>
    <mergeCell ref="E30:M30"/>
    <mergeCell ref="A2:M2"/>
  </mergeCells>
  <pageMargins left="0.7" right="0.7" top="0.75" bottom="0.75" header="0.3" footer="0.3"/>
  <pageSetup paperSize="9" orientation="portrait" r:id="rId1"/>
  <headerFooter>
    <oddHeader>&amp;C&amp;"Calibri"&amp;12&amp;KFF0000 OFFICIAL&amp;1#_x000D_</oddHeader>
    <oddFooter>&amp;C_x000D_&amp;1#&amp;"Calibri"&amp;12&amp;KFF0000 OFFICIAL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0F93F-0F1B-40B1-A9D4-C6F337428418}">
  <dimension ref="A1:Z45"/>
  <sheetViews>
    <sheetView zoomScaleNormal="100" workbookViewId="0">
      <pane xSplit="3" topLeftCell="H1" activePane="topRight" state="frozen"/>
      <selection activeCell="A13" sqref="A13:N13"/>
      <selection pane="topRight" activeCell="A13" sqref="A13:N13"/>
    </sheetView>
  </sheetViews>
  <sheetFormatPr defaultColWidth="9.26953125" defaultRowHeight="14.5"/>
  <cols>
    <col min="1" max="1" width="3" customWidth="1"/>
    <col min="2" max="2" width="18" bestFit="1" customWidth="1"/>
    <col min="3" max="3" width="6.26953125" style="61" bestFit="1" customWidth="1"/>
    <col min="4" max="23" width="7" bestFit="1" customWidth="1"/>
    <col min="24" max="26" width="6.81640625" customWidth="1"/>
  </cols>
  <sheetData>
    <row r="1" spans="1:26" ht="71.25" customHeight="1">
      <c r="A1" t="s">
        <v>2</v>
      </c>
    </row>
    <row r="2" spans="1:26" ht="21">
      <c r="A2" s="162" t="s">
        <v>60</v>
      </c>
      <c r="B2" s="162"/>
      <c r="C2" s="162"/>
      <c r="D2" s="162"/>
      <c r="E2" s="162"/>
      <c r="F2" s="162"/>
      <c r="G2" s="162"/>
      <c r="H2" s="162"/>
      <c r="I2" s="162"/>
      <c r="J2" s="162"/>
      <c r="K2" s="162"/>
      <c r="L2" s="162"/>
      <c r="M2" s="162"/>
      <c r="N2" s="162"/>
      <c r="O2" s="162"/>
      <c r="P2" s="162"/>
      <c r="Q2" s="162"/>
      <c r="R2" s="162"/>
      <c r="S2" s="162"/>
      <c r="T2" s="162"/>
      <c r="U2" s="162"/>
      <c r="V2" s="162"/>
      <c r="W2" s="162"/>
      <c r="X2" s="162"/>
    </row>
    <row r="3" spans="1:26" s="21" customFormat="1" ht="12">
      <c r="A3" s="64" t="s">
        <v>38</v>
      </c>
      <c r="B3" s="64" t="s">
        <v>38</v>
      </c>
      <c r="C3" s="66" t="s">
        <v>37</v>
      </c>
      <c r="D3" s="64" t="s">
        <v>296</v>
      </c>
      <c r="E3" s="64" t="s">
        <v>297</v>
      </c>
      <c r="F3" s="64" t="s">
        <v>298</v>
      </c>
      <c r="G3" s="64" t="s">
        <v>299</v>
      </c>
      <c r="H3" s="64" t="s">
        <v>300</v>
      </c>
      <c r="I3" s="64" t="s">
        <v>281</v>
      </c>
      <c r="J3" s="64" t="s">
        <v>282</v>
      </c>
      <c r="K3" s="64" t="s">
        <v>283</v>
      </c>
      <c r="L3" s="64" t="s">
        <v>284</v>
      </c>
      <c r="M3" s="64" t="s">
        <v>285</v>
      </c>
      <c r="N3" s="64" t="s">
        <v>286</v>
      </c>
      <c r="O3" s="64" t="s">
        <v>287</v>
      </c>
      <c r="P3" s="64" t="s">
        <v>288</v>
      </c>
      <c r="Q3" s="64" t="s">
        <v>289</v>
      </c>
      <c r="R3" s="64" t="s">
        <v>290</v>
      </c>
      <c r="S3" s="64" t="s">
        <v>291</v>
      </c>
      <c r="T3" s="64" t="s">
        <v>292</v>
      </c>
      <c r="U3" s="64" t="s">
        <v>293</v>
      </c>
      <c r="V3" s="64" t="s">
        <v>294</v>
      </c>
      <c r="W3" s="64" t="s">
        <v>295</v>
      </c>
      <c r="X3" s="64" t="s">
        <v>305</v>
      </c>
      <c r="Y3" s="64" t="s">
        <v>313</v>
      </c>
      <c r="Z3" s="64" t="s">
        <v>328</v>
      </c>
    </row>
    <row r="4" spans="1:26">
      <c r="A4" s="23" t="s">
        <v>61</v>
      </c>
    </row>
    <row r="5" spans="1:26">
      <c r="B5" s="24" t="s">
        <v>62</v>
      </c>
      <c r="C5" s="60" t="s">
        <v>4</v>
      </c>
      <c r="D5" s="81">
        <v>51.3</v>
      </c>
      <c r="E5" s="81">
        <v>51</v>
      </c>
      <c r="F5" s="81">
        <v>54.1</v>
      </c>
      <c r="G5" s="81">
        <v>55.2</v>
      </c>
      <c r="H5" s="81">
        <v>62.6</v>
      </c>
      <c r="I5" s="81">
        <v>70.599999999999994</v>
      </c>
      <c r="J5" s="81">
        <v>81.7</v>
      </c>
      <c r="K5" s="81">
        <v>92.5</v>
      </c>
      <c r="L5" s="81">
        <v>93</v>
      </c>
      <c r="M5" s="81">
        <v>93</v>
      </c>
      <c r="N5" s="81">
        <v>93</v>
      </c>
      <c r="O5" s="81">
        <v>93</v>
      </c>
      <c r="P5" s="81">
        <v>90.6</v>
      </c>
      <c r="Q5" s="81">
        <v>87.1</v>
      </c>
      <c r="R5" s="81">
        <v>87.1</v>
      </c>
      <c r="S5" s="81">
        <v>87.1</v>
      </c>
      <c r="T5" s="81">
        <v>87.1</v>
      </c>
      <c r="U5" s="81">
        <v>87.1</v>
      </c>
      <c r="V5" s="81">
        <v>55.7</v>
      </c>
      <c r="W5" s="81">
        <v>55.0320347480503</v>
      </c>
      <c r="X5" s="81">
        <v>54.989044953797702</v>
      </c>
      <c r="Y5" s="81">
        <v>54.989044953797702</v>
      </c>
      <c r="Z5" s="81">
        <v>55.004044953797703</v>
      </c>
    </row>
    <row r="6" spans="1:26">
      <c r="B6" s="24" t="s">
        <v>63</v>
      </c>
      <c r="C6" s="60" t="s">
        <v>4</v>
      </c>
      <c r="D6" s="81">
        <v>142.6</v>
      </c>
      <c r="E6" s="81">
        <v>154.69999999999999</v>
      </c>
      <c r="F6" s="81">
        <v>168.5</v>
      </c>
      <c r="G6" s="81">
        <v>164.7</v>
      </c>
      <c r="H6" s="81">
        <v>175.3</v>
      </c>
      <c r="I6" s="81">
        <v>191</v>
      </c>
      <c r="J6" s="81">
        <v>200.7</v>
      </c>
      <c r="K6" s="81">
        <v>202.7</v>
      </c>
      <c r="L6" s="81">
        <v>203</v>
      </c>
      <c r="M6" s="81">
        <v>205.8</v>
      </c>
      <c r="N6" s="81">
        <v>206.6</v>
      </c>
      <c r="O6" s="81">
        <v>206.5</v>
      </c>
      <c r="P6" s="81">
        <v>206</v>
      </c>
      <c r="Q6" s="81">
        <v>199</v>
      </c>
      <c r="R6" s="81">
        <v>199</v>
      </c>
      <c r="S6" s="81">
        <v>197.5</v>
      </c>
      <c r="T6" s="81">
        <v>196.3</v>
      </c>
      <c r="U6" s="81">
        <v>194.1</v>
      </c>
      <c r="V6" s="81">
        <v>161.91</v>
      </c>
      <c r="W6" s="81">
        <v>159.59828468444101</v>
      </c>
      <c r="X6" s="81">
        <v>159.32968357516401</v>
      </c>
      <c r="Y6" s="81">
        <v>159.48468357516401</v>
      </c>
      <c r="Z6" s="81">
        <v>159.48468357516401</v>
      </c>
    </row>
    <row r="7" spans="1:26">
      <c r="B7" s="24" t="s">
        <v>64</v>
      </c>
      <c r="C7" s="60" t="s">
        <v>4</v>
      </c>
      <c r="D7" s="81">
        <v>26</v>
      </c>
      <c r="E7" s="81">
        <v>30.5</v>
      </c>
      <c r="F7" s="81">
        <v>34.4</v>
      </c>
      <c r="G7" s="81">
        <v>37.5</v>
      </c>
      <c r="H7" s="81">
        <v>42.8</v>
      </c>
      <c r="I7" s="81">
        <v>49.4</v>
      </c>
      <c r="J7" s="81">
        <v>59.3</v>
      </c>
      <c r="K7" s="81">
        <v>63.6</v>
      </c>
      <c r="L7" s="81">
        <v>39.799999999999997</v>
      </c>
      <c r="M7" s="81">
        <v>40.9</v>
      </c>
      <c r="N7" s="81">
        <v>41.4</v>
      </c>
      <c r="O7" s="81">
        <v>41.5</v>
      </c>
      <c r="P7" s="81">
        <v>41.6</v>
      </c>
      <c r="Q7" s="81">
        <v>34.799999999999997</v>
      </c>
      <c r="R7" s="81">
        <v>34.799999999999997</v>
      </c>
      <c r="S7" s="81">
        <v>34.799999999999997</v>
      </c>
      <c r="T7" s="81">
        <v>34.799999999999997</v>
      </c>
      <c r="U7" s="81">
        <v>34.799999999999997</v>
      </c>
      <c r="V7" s="81">
        <v>17.98</v>
      </c>
      <c r="W7" s="81">
        <v>17.981185988955598</v>
      </c>
      <c r="X7" s="81">
        <v>17.981185988955598</v>
      </c>
      <c r="Y7" s="81">
        <v>17.981185988955598</v>
      </c>
      <c r="Z7" s="81">
        <v>17.981185988955598</v>
      </c>
    </row>
    <row r="8" spans="1:26">
      <c r="B8" s="24" t="s">
        <v>65</v>
      </c>
      <c r="C8" s="60" t="s">
        <v>4</v>
      </c>
      <c r="D8" s="81">
        <v>32.4</v>
      </c>
      <c r="E8" s="81">
        <v>37.1</v>
      </c>
      <c r="F8" s="81">
        <v>39.4</v>
      </c>
      <c r="G8" s="81">
        <v>42.3</v>
      </c>
      <c r="H8" s="81">
        <v>47.9</v>
      </c>
      <c r="I8" s="81">
        <v>55</v>
      </c>
      <c r="J8" s="81">
        <v>58.4</v>
      </c>
      <c r="K8" s="81">
        <v>58.7</v>
      </c>
      <c r="L8" s="81">
        <v>59.7</v>
      </c>
      <c r="M8" s="81">
        <v>59.7</v>
      </c>
      <c r="N8" s="81">
        <v>59.7</v>
      </c>
      <c r="O8" s="81">
        <v>59.7</v>
      </c>
      <c r="P8" s="81">
        <v>59.7</v>
      </c>
      <c r="Q8" s="81">
        <v>51.4</v>
      </c>
      <c r="R8" s="81">
        <v>51.4</v>
      </c>
      <c r="S8" s="81">
        <v>48.5</v>
      </c>
      <c r="T8" s="81">
        <v>44.8</v>
      </c>
      <c r="U8" s="81">
        <v>38.5</v>
      </c>
      <c r="V8" s="81">
        <v>43.89</v>
      </c>
      <c r="W8" s="81">
        <v>43.8306554989529</v>
      </c>
      <c r="X8" s="81">
        <v>41.6373449933904</v>
      </c>
      <c r="Y8" s="81">
        <v>41.6373449933904</v>
      </c>
      <c r="Z8" s="81">
        <v>40.517744993390401</v>
      </c>
    </row>
    <row r="9" spans="1:26">
      <c r="B9" s="24" t="s">
        <v>66</v>
      </c>
      <c r="C9" s="60" t="s">
        <v>4</v>
      </c>
      <c r="D9" s="81">
        <v>247.5</v>
      </c>
      <c r="E9" s="81">
        <v>251.5</v>
      </c>
      <c r="F9" s="81">
        <v>259.39999999999998</v>
      </c>
      <c r="G9" s="81">
        <v>270.8</v>
      </c>
      <c r="H9" s="81">
        <v>281.3</v>
      </c>
      <c r="I9" s="81">
        <v>294.7</v>
      </c>
      <c r="J9" s="81">
        <v>305</v>
      </c>
      <c r="K9" s="81">
        <v>311.8</v>
      </c>
      <c r="L9" s="81">
        <v>307.39999999999998</v>
      </c>
      <c r="M9" s="81">
        <v>306.7</v>
      </c>
      <c r="N9" s="81">
        <v>301</v>
      </c>
      <c r="O9" s="81">
        <v>298.89999999999998</v>
      </c>
      <c r="P9" s="81">
        <v>287.3</v>
      </c>
      <c r="Q9" s="81">
        <v>276.39999999999998</v>
      </c>
      <c r="R9" s="81">
        <v>276.39999999999998</v>
      </c>
      <c r="S9" s="81">
        <v>260.89999999999998</v>
      </c>
      <c r="T9" s="81">
        <v>253.5</v>
      </c>
      <c r="U9" s="81">
        <v>250</v>
      </c>
      <c r="V9" s="81">
        <v>197.59</v>
      </c>
      <c r="W9" s="81">
        <v>194.34933984639599</v>
      </c>
      <c r="X9" s="81">
        <v>178.237252562077</v>
      </c>
      <c r="Y9" s="81">
        <v>177.033362562077</v>
      </c>
      <c r="Z9" s="81">
        <v>174.887672562077</v>
      </c>
    </row>
    <row r="10" spans="1:26">
      <c r="B10" s="24" t="s">
        <v>67</v>
      </c>
      <c r="C10" s="60" t="s">
        <v>4</v>
      </c>
      <c r="D10" s="81">
        <v>135.30000000000001</v>
      </c>
      <c r="E10" s="81">
        <v>146.6</v>
      </c>
      <c r="F10" s="81">
        <v>151.30000000000001</v>
      </c>
      <c r="G10" s="81">
        <v>155.5</v>
      </c>
      <c r="H10" s="81">
        <v>174</v>
      </c>
      <c r="I10" s="81">
        <v>199.1</v>
      </c>
      <c r="J10" s="81">
        <v>217.1</v>
      </c>
      <c r="K10" s="81">
        <v>232</v>
      </c>
      <c r="L10" s="81">
        <v>234.4</v>
      </c>
      <c r="M10" s="81">
        <v>235.6</v>
      </c>
      <c r="N10" s="81">
        <v>235.6</v>
      </c>
      <c r="O10" s="81">
        <v>235.6</v>
      </c>
      <c r="P10" s="81">
        <v>235.6</v>
      </c>
      <c r="Q10" s="81">
        <v>233.9</v>
      </c>
      <c r="R10" s="81">
        <v>233.9</v>
      </c>
      <c r="S10" s="81">
        <v>233.9</v>
      </c>
      <c r="T10" s="81">
        <v>233.9</v>
      </c>
      <c r="U10" s="81">
        <v>233.9</v>
      </c>
      <c r="V10" s="81">
        <v>199.54</v>
      </c>
      <c r="W10" s="81">
        <v>196.27076775430299</v>
      </c>
      <c r="X10" s="81">
        <v>196.04276775430299</v>
      </c>
      <c r="Y10" s="81">
        <v>189.891767754303</v>
      </c>
      <c r="Z10" s="81">
        <v>189.44776775430299</v>
      </c>
    </row>
    <row r="11" spans="1:26">
      <c r="B11" s="24" t="s">
        <v>68</v>
      </c>
      <c r="C11" s="60" t="s">
        <v>4</v>
      </c>
      <c r="D11" s="81">
        <v>3.2</v>
      </c>
      <c r="E11" s="81">
        <v>4.4000000000000004</v>
      </c>
      <c r="F11" s="81">
        <v>8.4</v>
      </c>
      <c r="G11" s="81">
        <v>14.1</v>
      </c>
      <c r="H11" s="81">
        <v>23.5</v>
      </c>
      <c r="I11" s="81">
        <v>23.7</v>
      </c>
      <c r="J11" s="81">
        <v>27.3</v>
      </c>
      <c r="K11" s="81">
        <v>29.6</v>
      </c>
      <c r="L11" s="81">
        <v>35.700000000000003</v>
      </c>
      <c r="M11" s="81">
        <v>37.799999999999997</v>
      </c>
      <c r="N11" s="81">
        <v>39.4</v>
      </c>
      <c r="O11" s="81">
        <v>41.1</v>
      </c>
      <c r="P11" s="81">
        <v>42.3</v>
      </c>
      <c r="Q11" s="81">
        <v>45.7</v>
      </c>
      <c r="R11" s="81">
        <v>45.7</v>
      </c>
      <c r="S11" s="81">
        <v>45.6</v>
      </c>
      <c r="T11" s="81">
        <v>45.5</v>
      </c>
      <c r="U11" s="81">
        <v>45.5</v>
      </c>
      <c r="V11" s="81">
        <v>46.94</v>
      </c>
      <c r="W11" s="81">
        <v>43.921927609489998</v>
      </c>
      <c r="X11" s="81">
        <v>39.2496298787784</v>
      </c>
      <c r="Y11" s="81">
        <v>36.439629878778398</v>
      </c>
      <c r="Z11" s="81">
        <v>36.334629878778401</v>
      </c>
    </row>
    <row r="12" spans="1:26">
      <c r="B12" s="24" t="s">
        <v>69</v>
      </c>
      <c r="C12" s="60" t="s">
        <v>4</v>
      </c>
      <c r="D12" s="81">
        <v>0.2</v>
      </c>
      <c r="E12" s="81">
        <v>0.1</v>
      </c>
      <c r="F12" s="81">
        <v>0.1</v>
      </c>
      <c r="G12" s="81">
        <v>0</v>
      </c>
      <c r="H12" s="81">
        <v>0</v>
      </c>
      <c r="I12" s="81">
        <v>0</v>
      </c>
      <c r="J12" s="81">
        <v>0</v>
      </c>
      <c r="K12" s="81">
        <v>0</v>
      </c>
      <c r="L12" s="81">
        <v>0</v>
      </c>
      <c r="M12" s="81">
        <v>0</v>
      </c>
      <c r="N12" s="81">
        <v>0</v>
      </c>
      <c r="O12" s="81">
        <v>0</v>
      </c>
      <c r="P12" s="81">
        <v>0</v>
      </c>
      <c r="Q12" s="81">
        <v>0</v>
      </c>
      <c r="R12" s="81">
        <v>0</v>
      </c>
      <c r="S12" s="81">
        <v>0</v>
      </c>
      <c r="T12" s="81">
        <v>0</v>
      </c>
      <c r="U12" s="81">
        <v>0</v>
      </c>
      <c r="V12" s="81">
        <v>0.03</v>
      </c>
      <c r="W12" s="81">
        <v>3.3581699552296999E-2</v>
      </c>
      <c r="X12" s="81">
        <v>0.16258169955229701</v>
      </c>
      <c r="Y12" s="81">
        <v>0.16258169955229701</v>
      </c>
      <c r="Z12" s="81">
        <v>0.16258169955229701</v>
      </c>
    </row>
    <row r="13" spans="1:26">
      <c r="B13" s="11" t="s">
        <v>215</v>
      </c>
      <c r="C13" s="60" t="s">
        <v>4</v>
      </c>
      <c r="D13" s="81">
        <v>638.29999999999995</v>
      </c>
      <c r="E13" s="81">
        <v>676</v>
      </c>
      <c r="F13" s="81">
        <v>715.5</v>
      </c>
      <c r="G13" s="81">
        <v>740.2</v>
      </c>
      <c r="H13" s="81">
        <v>807.4</v>
      </c>
      <c r="I13" s="81">
        <v>883.5</v>
      </c>
      <c r="J13" s="81">
        <v>949.5</v>
      </c>
      <c r="K13" s="81">
        <v>990.9</v>
      </c>
      <c r="L13" s="81">
        <v>973</v>
      </c>
      <c r="M13" s="81">
        <v>979.5</v>
      </c>
      <c r="N13" s="81">
        <v>976.7</v>
      </c>
      <c r="O13" s="81">
        <v>976.4</v>
      </c>
      <c r="P13" s="81">
        <v>963.1</v>
      </c>
      <c r="Q13" s="81">
        <v>928.3</v>
      </c>
      <c r="R13" s="81">
        <v>928.3</v>
      </c>
      <c r="S13" s="81">
        <v>908.5</v>
      </c>
      <c r="T13" s="81">
        <v>896</v>
      </c>
      <c r="U13" s="81">
        <v>884</v>
      </c>
      <c r="V13" s="81">
        <v>723.59</v>
      </c>
      <c r="W13" s="81">
        <v>711.01777783014097</v>
      </c>
      <c r="X13" s="81">
        <v>687.62949140601802</v>
      </c>
      <c r="Y13" s="81">
        <v>677.61960140601798</v>
      </c>
      <c r="Z13" s="81">
        <v>673.82031140601896</v>
      </c>
    </row>
    <row r="14" spans="1:26">
      <c r="A14" t="s">
        <v>2</v>
      </c>
      <c r="D14" s="71"/>
      <c r="E14" s="71"/>
      <c r="F14" s="71"/>
      <c r="G14" s="71"/>
      <c r="H14" s="71"/>
      <c r="I14" s="71"/>
      <c r="J14" s="71"/>
      <c r="K14" s="71"/>
      <c r="L14" s="71"/>
      <c r="M14" s="71"/>
      <c r="N14" s="71"/>
      <c r="O14" s="71"/>
      <c r="P14" s="71"/>
      <c r="Q14" s="71"/>
      <c r="R14" s="71"/>
      <c r="S14" s="71"/>
      <c r="T14" s="71"/>
      <c r="U14" s="71"/>
      <c r="V14" s="71"/>
      <c r="W14" s="83"/>
      <c r="X14" s="83"/>
      <c r="Y14" s="83"/>
      <c r="Z14" s="83"/>
    </row>
    <row r="15" spans="1:26">
      <c r="A15" s="23" t="s">
        <v>42</v>
      </c>
      <c r="D15" s="71"/>
      <c r="E15" s="71"/>
      <c r="F15" s="71"/>
      <c r="G15" s="71"/>
      <c r="H15" s="71"/>
      <c r="I15" s="71"/>
      <c r="J15" s="71"/>
      <c r="K15" s="71"/>
      <c r="L15" s="71"/>
      <c r="M15" s="71"/>
      <c r="N15" s="71"/>
      <c r="O15" s="71"/>
      <c r="P15" s="71"/>
      <c r="Q15" s="71"/>
      <c r="R15" s="71"/>
      <c r="S15" s="71"/>
      <c r="T15" s="71"/>
      <c r="U15" s="71"/>
      <c r="V15" s="71"/>
      <c r="W15" s="83"/>
      <c r="X15" s="83"/>
      <c r="Y15" s="83"/>
      <c r="Z15" s="83"/>
    </row>
    <row r="16" spans="1:26">
      <c r="B16" s="24" t="s">
        <v>62</v>
      </c>
      <c r="C16" s="60" t="s">
        <v>4</v>
      </c>
      <c r="D16" s="81">
        <v>270.5</v>
      </c>
      <c r="E16" s="81">
        <v>280.3</v>
      </c>
      <c r="F16" s="81">
        <v>287.3</v>
      </c>
      <c r="G16" s="81">
        <v>273.60000000000002</v>
      </c>
      <c r="H16" s="81">
        <v>280</v>
      </c>
      <c r="I16" s="81">
        <v>285.7</v>
      </c>
      <c r="J16" s="81">
        <v>285.60000000000002</v>
      </c>
      <c r="K16" s="81">
        <v>287.8</v>
      </c>
      <c r="L16" s="81">
        <v>295.5</v>
      </c>
      <c r="M16" s="81">
        <v>295.8</v>
      </c>
      <c r="N16" s="81">
        <v>296.2</v>
      </c>
      <c r="O16" s="81">
        <v>296.5</v>
      </c>
      <c r="P16" s="81">
        <v>296.7</v>
      </c>
      <c r="Q16" s="81">
        <v>305.7</v>
      </c>
      <c r="R16" s="81">
        <v>307.10000000000002</v>
      </c>
      <c r="S16" s="81">
        <v>307.10000000000002</v>
      </c>
      <c r="T16" s="81">
        <v>306</v>
      </c>
      <c r="U16" s="81">
        <v>306</v>
      </c>
      <c r="V16" s="81">
        <v>304</v>
      </c>
      <c r="W16" s="81">
        <v>292.49563330686499</v>
      </c>
      <c r="X16" s="81">
        <v>291.78440830115699</v>
      </c>
      <c r="Y16" s="81">
        <v>294.300572308185</v>
      </c>
      <c r="Z16" s="81">
        <v>296.22257230818502</v>
      </c>
    </row>
    <row r="17" spans="1:26">
      <c r="B17" s="24" t="s">
        <v>63</v>
      </c>
      <c r="C17" s="60" t="s">
        <v>4</v>
      </c>
      <c r="D17" s="81">
        <v>217.3</v>
      </c>
      <c r="E17" s="81">
        <v>212</v>
      </c>
      <c r="F17" s="81">
        <v>214.9</v>
      </c>
      <c r="G17" s="81">
        <v>218.4</v>
      </c>
      <c r="H17" s="81">
        <v>218.9</v>
      </c>
      <c r="I17" s="81">
        <v>219.4</v>
      </c>
      <c r="J17" s="81">
        <v>219.9</v>
      </c>
      <c r="K17" s="81">
        <v>220</v>
      </c>
      <c r="L17" s="81">
        <v>226.4</v>
      </c>
      <c r="M17" s="81">
        <v>225.9</v>
      </c>
      <c r="N17" s="81">
        <v>225.9</v>
      </c>
      <c r="O17" s="81">
        <v>225.9</v>
      </c>
      <c r="P17" s="81">
        <v>226</v>
      </c>
      <c r="Q17" s="81">
        <v>223.3</v>
      </c>
      <c r="R17" s="81">
        <v>223.3</v>
      </c>
      <c r="S17" s="81">
        <v>223.4</v>
      </c>
      <c r="T17" s="81">
        <v>223.4</v>
      </c>
      <c r="U17" s="81">
        <v>223.6</v>
      </c>
      <c r="V17" s="81">
        <v>224.04</v>
      </c>
      <c r="W17" s="81">
        <v>222.31476051228501</v>
      </c>
      <c r="X17" s="81">
        <v>220.958217327586</v>
      </c>
      <c r="Y17" s="81">
        <v>221.19967905446799</v>
      </c>
      <c r="Z17" s="81">
        <v>223.12167905446799</v>
      </c>
    </row>
    <row r="18" spans="1:26">
      <c r="B18" s="24" t="s">
        <v>64</v>
      </c>
      <c r="C18" s="60" t="s">
        <v>4</v>
      </c>
      <c r="D18" s="81">
        <v>181.6</v>
      </c>
      <c r="E18" s="81">
        <v>181.1</v>
      </c>
      <c r="F18" s="81">
        <v>180.2</v>
      </c>
      <c r="G18" s="81">
        <v>186</v>
      </c>
      <c r="H18" s="81">
        <v>187.7</v>
      </c>
      <c r="I18" s="81">
        <v>188.8</v>
      </c>
      <c r="J18" s="81">
        <v>189.2</v>
      </c>
      <c r="K18" s="81">
        <v>190.7</v>
      </c>
      <c r="L18" s="81">
        <v>188.3</v>
      </c>
      <c r="M18" s="81">
        <v>189.1</v>
      </c>
      <c r="N18" s="81">
        <v>189.4</v>
      </c>
      <c r="O18" s="81">
        <v>189.4</v>
      </c>
      <c r="P18" s="81">
        <v>189.4</v>
      </c>
      <c r="Q18" s="81">
        <v>195.5</v>
      </c>
      <c r="R18" s="81">
        <v>195.5</v>
      </c>
      <c r="S18" s="81">
        <v>195.5</v>
      </c>
      <c r="T18" s="81">
        <v>195.6</v>
      </c>
      <c r="U18" s="81">
        <v>195.6</v>
      </c>
      <c r="V18" s="81">
        <v>184.48</v>
      </c>
      <c r="W18" s="81">
        <v>184.47718236646199</v>
      </c>
      <c r="X18" s="81">
        <v>184.483132366462</v>
      </c>
      <c r="Y18" s="81">
        <v>184.483132366462</v>
      </c>
      <c r="Z18" s="81">
        <v>186.405132366462</v>
      </c>
    </row>
    <row r="19" spans="1:26">
      <c r="B19" s="24" t="s">
        <v>65</v>
      </c>
      <c r="C19" s="60" t="s">
        <v>4</v>
      </c>
      <c r="D19" s="81">
        <v>116.8</v>
      </c>
      <c r="E19" s="81">
        <v>120.5</v>
      </c>
      <c r="F19" s="81">
        <v>124.3</v>
      </c>
      <c r="G19" s="81">
        <v>124.2</v>
      </c>
      <c r="H19" s="81">
        <v>124.2</v>
      </c>
      <c r="I19" s="81">
        <v>122.9</v>
      </c>
      <c r="J19" s="81">
        <v>122.9</v>
      </c>
      <c r="K19" s="81">
        <v>123.4</v>
      </c>
      <c r="L19" s="81">
        <v>128.4</v>
      </c>
      <c r="M19" s="81">
        <v>128.5</v>
      </c>
      <c r="N19" s="81">
        <v>128.5</v>
      </c>
      <c r="O19" s="81">
        <v>128.5</v>
      </c>
      <c r="P19" s="81">
        <v>128.5</v>
      </c>
      <c r="Q19" s="81">
        <v>127.2</v>
      </c>
      <c r="R19" s="81">
        <v>127.2</v>
      </c>
      <c r="S19" s="81">
        <v>127.2</v>
      </c>
      <c r="T19" s="81">
        <v>127.2</v>
      </c>
      <c r="U19" s="81">
        <v>128.1</v>
      </c>
      <c r="V19" s="81">
        <v>128.33000000000001</v>
      </c>
      <c r="W19" s="81">
        <v>124.163036105858</v>
      </c>
      <c r="X19" s="81">
        <v>122.854999364869</v>
      </c>
      <c r="Y19" s="81">
        <v>122.854999364869</v>
      </c>
      <c r="Z19" s="81">
        <v>124.776999364869</v>
      </c>
    </row>
    <row r="20" spans="1:26">
      <c r="B20" s="24" t="s">
        <v>66</v>
      </c>
      <c r="C20" s="60" t="s">
        <v>4</v>
      </c>
      <c r="D20" s="81">
        <v>104.1</v>
      </c>
      <c r="E20" s="81">
        <v>109.2</v>
      </c>
      <c r="F20" s="81">
        <v>110.4</v>
      </c>
      <c r="G20" s="81">
        <v>104.5</v>
      </c>
      <c r="H20" s="81">
        <v>105.1</v>
      </c>
      <c r="I20" s="81">
        <v>106.7</v>
      </c>
      <c r="J20" s="81">
        <v>109.2</v>
      </c>
      <c r="K20" s="81">
        <v>110.9</v>
      </c>
      <c r="L20" s="81">
        <v>100.2</v>
      </c>
      <c r="M20" s="81">
        <v>100.2</v>
      </c>
      <c r="N20" s="81">
        <v>98.4</v>
      </c>
      <c r="O20" s="81">
        <v>98.3</v>
      </c>
      <c r="P20" s="81">
        <v>98.5</v>
      </c>
      <c r="Q20" s="81">
        <v>98.4</v>
      </c>
      <c r="R20" s="81">
        <v>98.4</v>
      </c>
      <c r="S20" s="81">
        <v>98.4</v>
      </c>
      <c r="T20" s="81">
        <v>99.7</v>
      </c>
      <c r="U20" s="81">
        <v>101.3</v>
      </c>
      <c r="V20" s="81">
        <v>97.72</v>
      </c>
      <c r="W20" s="81">
        <v>98.218107300350496</v>
      </c>
      <c r="X20" s="81">
        <v>97.883866300436694</v>
      </c>
      <c r="Y20" s="81">
        <v>98.290026300436693</v>
      </c>
      <c r="Z20" s="81">
        <v>100.212026300437</v>
      </c>
    </row>
    <row r="21" spans="1:26">
      <c r="B21" s="24" t="s">
        <v>67</v>
      </c>
      <c r="C21" s="60" t="s">
        <v>4</v>
      </c>
      <c r="D21" s="81">
        <v>78.2</v>
      </c>
      <c r="E21" s="81">
        <v>76.099999999999994</v>
      </c>
      <c r="F21" s="81">
        <v>74.400000000000006</v>
      </c>
      <c r="G21" s="81">
        <v>71.599999999999994</v>
      </c>
      <c r="H21" s="81">
        <v>73.599999999999994</v>
      </c>
      <c r="I21" s="81">
        <v>75</v>
      </c>
      <c r="J21" s="81">
        <v>77</v>
      </c>
      <c r="K21" s="81">
        <v>77.099999999999994</v>
      </c>
      <c r="L21" s="81">
        <v>74.7</v>
      </c>
      <c r="M21" s="81">
        <v>75.099999999999994</v>
      </c>
      <c r="N21" s="81">
        <v>75.099999999999994</v>
      </c>
      <c r="O21" s="81">
        <v>75.099999999999994</v>
      </c>
      <c r="P21" s="81">
        <v>75.099999999999994</v>
      </c>
      <c r="Q21" s="81">
        <v>75.900000000000006</v>
      </c>
      <c r="R21" s="81">
        <v>75.900000000000006</v>
      </c>
      <c r="S21" s="81">
        <v>75.900000000000006</v>
      </c>
      <c r="T21" s="81">
        <v>75.8</v>
      </c>
      <c r="U21" s="81">
        <v>75.8</v>
      </c>
      <c r="V21" s="81">
        <v>78.52</v>
      </c>
      <c r="W21" s="81">
        <v>78.040132789821001</v>
      </c>
      <c r="X21" s="81">
        <v>78.040132789821001</v>
      </c>
      <c r="Y21" s="81">
        <v>77.504132789821</v>
      </c>
      <c r="Z21" s="81">
        <v>79.426132789820997</v>
      </c>
    </row>
    <row r="22" spans="1:26">
      <c r="B22" s="24" t="s">
        <v>68</v>
      </c>
      <c r="C22" s="60" t="s">
        <v>4</v>
      </c>
      <c r="D22" s="81">
        <v>3.8</v>
      </c>
      <c r="E22" s="81">
        <v>3.8</v>
      </c>
      <c r="F22" s="81">
        <v>3.8</v>
      </c>
      <c r="G22" s="81">
        <v>2.2000000000000002</v>
      </c>
      <c r="H22" s="81">
        <v>2.2000000000000002</v>
      </c>
      <c r="I22" s="81">
        <v>2.2000000000000002</v>
      </c>
      <c r="J22" s="81">
        <v>2.2000000000000002</v>
      </c>
      <c r="K22" s="81">
        <v>2.2000000000000002</v>
      </c>
      <c r="L22" s="81">
        <v>2.4</v>
      </c>
      <c r="M22" s="81">
        <v>2.4</v>
      </c>
      <c r="N22" s="81">
        <v>2.4</v>
      </c>
      <c r="O22" s="81">
        <v>2.4</v>
      </c>
      <c r="P22" s="81">
        <v>2.4</v>
      </c>
      <c r="Q22" s="81">
        <v>1.9</v>
      </c>
      <c r="R22" s="81">
        <v>1.9</v>
      </c>
      <c r="S22" s="81">
        <v>1.9</v>
      </c>
      <c r="T22" s="81">
        <v>1.9</v>
      </c>
      <c r="U22" s="81">
        <v>1.9</v>
      </c>
      <c r="V22" s="81">
        <v>2.35</v>
      </c>
      <c r="W22" s="81">
        <v>1.8618971218342699</v>
      </c>
      <c r="X22" s="81">
        <v>0.81355601370701902</v>
      </c>
      <c r="Y22" s="81">
        <v>0.81355601370701902</v>
      </c>
      <c r="Z22" s="81">
        <v>2.7355560137070198</v>
      </c>
    </row>
    <row r="23" spans="1:26">
      <c r="B23" s="24" t="s">
        <v>69</v>
      </c>
      <c r="C23" s="60" t="s">
        <v>4</v>
      </c>
      <c r="D23" s="81">
        <v>15.7</v>
      </c>
      <c r="E23" s="81">
        <v>5.3</v>
      </c>
      <c r="F23" s="81">
        <v>5.4</v>
      </c>
      <c r="G23" s="81">
        <v>9.5</v>
      </c>
      <c r="H23" s="81">
        <v>9.5</v>
      </c>
      <c r="I23" s="81">
        <v>9.5</v>
      </c>
      <c r="J23" s="81">
        <v>7.9</v>
      </c>
      <c r="K23" s="81">
        <v>7.9</v>
      </c>
      <c r="L23" s="81">
        <v>7.7</v>
      </c>
      <c r="M23" s="81">
        <v>7.7</v>
      </c>
      <c r="N23" s="81">
        <v>7.7</v>
      </c>
      <c r="O23" s="81">
        <v>7.7</v>
      </c>
      <c r="P23" s="81">
        <v>7.7</v>
      </c>
      <c r="Q23" s="81">
        <v>7.4</v>
      </c>
      <c r="R23" s="81">
        <v>7.4</v>
      </c>
      <c r="S23" s="81">
        <v>7.4</v>
      </c>
      <c r="T23" s="81">
        <v>7.4</v>
      </c>
      <c r="U23" s="81">
        <v>7.4</v>
      </c>
      <c r="V23" s="81">
        <v>8.6999999999999993</v>
      </c>
      <c r="W23" s="81">
        <v>8.6595254517191904</v>
      </c>
      <c r="X23" s="81">
        <v>8.6595254517191904</v>
      </c>
      <c r="Y23" s="81">
        <v>8.4146454517191902</v>
      </c>
      <c r="Z23" s="81">
        <v>10.3366454517192</v>
      </c>
    </row>
    <row r="24" spans="1:26">
      <c r="B24" s="11" t="s">
        <v>215</v>
      </c>
      <c r="C24" s="60" t="s">
        <v>4</v>
      </c>
      <c r="D24" s="81">
        <v>987.9</v>
      </c>
      <c r="E24" s="81">
        <v>988.2</v>
      </c>
      <c r="F24" s="81">
        <v>1000.6</v>
      </c>
      <c r="G24" s="81">
        <v>990</v>
      </c>
      <c r="H24" s="81">
        <v>1001.1</v>
      </c>
      <c r="I24" s="81">
        <v>1010.2</v>
      </c>
      <c r="J24" s="81">
        <v>1013.8</v>
      </c>
      <c r="K24" s="81">
        <v>1020.1</v>
      </c>
      <c r="L24" s="81">
        <v>1023.6</v>
      </c>
      <c r="M24" s="81">
        <v>1024.8</v>
      </c>
      <c r="N24" s="81">
        <v>1023.6</v>
      </c>
      <c r="O24" s="81">
        <v>1023.8</v>
      </c>
      <c r="P24" s="81">
        <v>1024.2</v>
      </c>
      <c r="Q24" s="81">
        <v>1035.4000000000001</v>
      </c>
      <c r="R24" s="81">
        <v>1036.8</v>
      </c>
      <c r="S24" s="81">
        <v>1036.9000000000001</v>
      </c>
      <c r="T24" s="81">
        <v>1037</v>
      </c>
      <c r="U24" s="81">
        <v>1039.7</v>
      </c>
      <c r="V24" s="81">
        <v>1028.0999999999999</v>
      </c>
      <c r="W24" s="81">
        <v>1010.2302749552</v>
      </c>
      <c r="X24" s="81">
        <v>1005.47783791576</v>
      </c>
      <c r="Y24" s="81">
        <v>1007.86074364967</v>
      </c>
      <c r="Z24" s="81">
        <v>1009.78274364967</v>
      </c>
    </row>
    <row r="25" spans="1:26">
      <c r="A25" t="s">
        <v>2</v>
      </c>
      <c r="D25" s="71"/>
      <c r="E25" s="71"/>
      <c r="F25" s="71"/>
      <c r="G25" s="71"/>
      <c r="H25" s="71"/>
      <c r="I25" s="71"/>
      <c r="J25" s="71"/>
      <c r="K25" s="71"/>
      <c r="L25" s="71"/>
      <c r="M25" s="71"/>
      <c r="N25" s="71"/>
      <c r="O25" s="71"/>
      <c r="P25" s="71"/>
      <c r="Q25" s="71"/>
      <c r="R25" s="71"/>
      <c r="S25" s="71"/>
      <c r="T25" s="71"/>
      <c r="U25" s="71"/>
      <c r="V25" s="71"/>
      <c r="W25" s="83"/>
      <c r="X25" s="83"/>
      <c r="Y25" s="83"/>
      <c r="Z25" s="83"/>
    </row>
    <row r="26" spans="1:26">
      <c r="A26" s="22" t="s">
        <v>280</v>
      </c>
      <c r="D26" s="71"/>
      <c r="E26" s="71"/>
      <c r="F26" s="71"/>
      <c r="G26" s="71"/>
      <c r="H26" s="71"/>
      <c r="I26" s="71"/>
      <c r="J26" s="71"/>
      <c r="K26" s="71"/>
      <c r="L26" s="71"/>
      <c r="M26" s="71"/>
      <c r="N26" s="71"/>
      <c r="O26" s="71"/>
      <c r="P26" s="71"/>
      <c r="Q26" s="71"/>
      <c r="R26" s="71"/>
      <c r="S26" s="71"/>
      <c r="T26" s="71"/>
      <c r="U26" s="71"/>
      <c r="V26" s="71"/>
      <c r="W26" s="83"/>
      <c r="X26" s="83"/>
      <c r="Y26" s="83"/>
      <c r="Z26" s="83"/>
    </row>
    <row r="27" spans="1:26">
      <c r="B27" s="24" t="s">
        <v>62</v>
      </c>
      <c r="C27" s="60" t="s">
        <v>4</v>
      </c>
      <c r="D27" s="81">
        <v>322.7</v>
      </c>
      <c r="E27" s="81">
        <v>331.2</v>
      </c>
      <c r="F27" s="81">
        <v>341.4</v>
      </c>
      <c r="G27" s="81">
        <v>331.6</v>
      </c>
      <c r="H27" s="81">
        <v>345.5</v>
      </c>
      <c r="I27" s="81">
        <v>359.1</v>
      </c>
      <c r="J27" s="81">
        <v>370.1</v>
      </c>
      <c r="K27" s="81">
        <v>383.2</v>
      </c>
      <c r="L27" s="81">
        <v>391.3</v>
      </c>
      <c r="M27" s="81">
        <v>391.6</v>
      </c>
      <c r="N27" s="81">
        <v>391.9</v>
      </c>
      <c r="O27" s="81">
        <v>392.2</v>
      </c>
      <c r="P27" s="81">
        <v>390</v>
      </c>
      <c r="Q27" s="81">
        <v>393</v>
      </c>
      <c r="R27" s="81">
        <v>394.4</v>
      </c>
      <c r="S27" s="81">
        <v>394.4</v>
      </c>
      <c r="T27" s="81">
        <v>393.2</v>
      </c>
      <c r="U27" s="81">
        <v>393.2</v>
      </c>
      <c r="V27" s="81">
        <v>360.05</v>
      </c>
      <c r="W27" s="81">
        <v>347.877668054916</v>
      </c>
      <c r="X27" s="81">
        <v>347.123453254955</v>
      </c>
      <c r="Y27" s="81">
        <v>349.63961726198301</v>
      </c>
      <c r="Z27" s="81">
        <v>351.57661726198302</v>
      </c>
    </row>
    <row r="28" spans="1:26">
      <c r="B28" s="24" t="s">
        <v>63</v>
      </c>
      <c r="C28" s="60" t="s">
        <v>4</v>
      </c>
      <c r="D28" s="81">
        <v>359.9</v>
      </c>
      <c r="E28" s="81">
        <v>366.6</v>
      </c>
      <c r="F28" s="81">
        <v>383.3</v>
      </c>
      <c r="G28" s="81">
        <v>384.6</v>
      </c>
      <c r="H28" s="81">
        <v>395.7</v>
      </c>
      <c r="I28" s="81">
        <v>411.9</v>
      </c>
      <c r="J28" s="81">
        <v>422.1</v>
      </c>
      <c r="K28" s="81">
        <v>424.2</v>
      </c>
      <c r="L28" s="81">
        <v>430.5</v>
      </c>
      <c r="M28" s="81">
        <v>432.9</v>
      </c>
      <c r="N28" s="81">
        <v>433.6</v>
      </c>
      <c r="O28" s="81">
        <v>433.5</v>
      </c>
      <c r="P28" s="81">
        <v>433.1</v>
      </c>
      <c r="Q28" s="81">
        <v>423</v>
      </c>
      <c r="R28" s="81">
        <v>423</v>
      </c>
      <c r="S28" s="81">
        <v>421.7</v>
      </c>
      <c r="T28" s="81">
        <v>420.6</v>
      </c>
      <c r="U28" s="81">
        <v>418.5</v>
      </c>
      <c r="V28" s="81">
        <v>386.59</v>
      </c>
      <c r="W28" s="81">
        <v>382.55304519672598</v>
      </c>
      <c r="X28" s="81">
        <v>380.92790090275003</v>
      </c>
      <c r="Y28" s="81">
        <v>381.32436262963103</v>
      </c>
      <c r="Z28" s="81">
        <v>380.71636262963102</v>
      </c>
    </row>
    <row r="29" spans="1:26">
      <c r="B29" s="24" t="s">
        <v>64</v>
      </c>
      <c r="C29" s="60" t="s">
        <v>4</v>
      </c>
      <c r="D29" s="81">
        <v>208</v>
      </c>
      <c r="E29" s="81">
        <v>212.9</v>
      </c>
      <c r="F29" s="81">
        <v>214.6</v>
      </c>
      <c r="G29" s="81">
        <v>225.6</v>
      </c>
      <c r="H29" s="81">
        <v>232.6</v>
      </c>
      <c r="I29" s="81">
        <v>240.3</v>
      </c>
      <c r="J29" s="81">
        <v>250.6</v>
      </c>
      <c r="K29" s="81">
        <v>256.39999999999998</v>
      </c>
      <c r="L29" s="81">
        <v>230.6</v>
      </c>
      <c r="M29" s="81">
        <v>232.5</v>
      </c>
      <c r="N29" s="81">
        <v>233.3</v>
      </c>
      <c r="O29" s="81">
        <v>233.4</v>
      </c>
      <c r="P29" s="81">
        <v>233.5</v>
      </c>
      <c r="Q29" s="81">
        <v>230.4</v>
      </c>
      <c r="R29" s="81">
        <v>230.4</v>
      </c>
      <c r="S29" s="81">
        <v>230.4</v>
      </c>
      <c r="T29" s="81">
        <v>230.5</v>
      </c>
      <c r="U29" s="81">
        <v>230.5</v>
      </c>
      <c r="V29" s="81">
        <v>205.38</v>
      </c>
      <c r="W29" s="81">
        <v>205.378368355417</v>
      </c>
      <c r="X29" s="81">
        <v>205.38431835541701</v>
      </c>
      <c r="Y29" s="81">
        <v>205.38431835541701</v>
      </c>
      <c r="Z29" s="81">
        <v>205.025318355417</v>
      </c>
    </row>
    <row r="30" spans="1:26">
      <c r="B30" s="24" t="s">
        <v>65</v>
      </c>
      <c r="C30" s="60" t="s">
        <v>4</v>
      </c>
      <c r="D30" s="81">
        <v>149.4</v>
      </c>
      <c r="E30" s="81">
        <v>157.9</v>
      </c>
      <c r="F30" s="81">
        <v>163.80000000000001</v>
      </c>
      <c r="G30" s="81">
        <v>167</v>
      </c>
      <c r="H30" s="81">
        <v>172.5</v>
      </c>
      <c r="I30" s="81">
        <v>178.3</v>
      </c>
      <c r="J30" s="81">
        <v>181.8</v>
      </c>
      <c r="K30" s="81">
        <v>182.5</v>
      </c>
      <c r="L30" s="81">
        <v>188.3</v>
      </c>
      <c r="M30" s="81">
        <v>188.5</v>
      </c>
      <c r="N30" s="81">
        <v>188.5</v>
      </c>
      <c r="O30" s="81">
        <v>188.5</v>
      </c>
      <c r="P30" s="81">
        <v>188.5</v>
      </c>
      <c r="Q30" s="81">
        <v>178.8</v>
      </c>
      <c r="R30" s="81">
        <v>178.8</v>
      </c>
      <c r="S30" s="81">
        <v>175.9</v>
      </c>
      <c r="T30" s="81">
        <v>172.2</v>
      </c>
      <c r="U30" s="81">
        <v>166.8</v>
      </c>
      <c r="V30" s="81">
        <v>172.33</v>
      </c>
      <c r="W30" s="81">
        <v>168.10369160481099</v>
      </c>
      <c r="X30" s="81">
        <v>164.60234435825899</v>
      </c>
      <c r="Y30" s="81">
        <v>164.60234435825899</v>
      </c>
      <c r="Z30" s="81">
        <v>163.482744358259</v>
      </c>
    </row>
    <row r="31" spans="1:26">
      <c r="B31" s="24" t="s">
        <v>66</v>
      </c>
      <c r="C31" s="60" t="s">
        <v>4</v>
      </c>
      <c r="D31" s="81">
        <v>351.6</v>
      </c>
      <c r="E31" s="81">
        <v>360.8</v>
      </c>
      <c r="F31" s="81">
        <v>369.8</v>
      </c>
      <c r="G31" s="81">
        <v>377.6</v>
      </c>
      <c r="H31" s="81">
        <v>388.7</v>
      </c>
      <c r="I31" s="81">
        <v>403.7</v>
      </c>
      <c r="J31" s="81">
        <v>416.5</v>
      </c>
      <c r="K31" s="81">
        <v>425.1</v>
      </c>
      <c r="L31" s="81">
        <v>413.3</v>
      </c>
      <c r="M31" s="81">
        <v>412.6</v>
      </c>
      <c r="N31" s="81">
        <v>405.1</v>
      </c>
      <c r="O31" s="81">
        <v>402.9</v>
      </c>
      <c r="P31" s="81">
        <v>391.5</v>
      </c>
      <c r="Q31" s="81">
        <v>383.4</v>
      </c>
      <c r="R31" s="81">
        <v>383.4</v>
      </c>
      <c r="S31" s="81">
        <v>367.9</v>
      </c>
      <c r="T31" s="81">
        <v>361.7</v>
      </c>
      <c r="U31" s="81">
        <v>359.9</v>
      </c>
      <c r="V31" s="81">
        <v>309.82</v>
      </c>
      <c r="W31" s="81">
        <v>307.07744714674601</v>
      </c>
      <c r="X31" s="81">
        <v>290.63111886251301</v>
      </c>
      <c r="Y31" s="81">
        <v>289.833388862513</v>
      </c>
      <c r="Z31" s="81">
        <v>289.27239886251402</v>
      </c>
    </row>
    <row r="32" spans="1:26">
      <c r="B32" s="24" t="s">
        <v>67</v>
      </c>
      <c r="C32" s="60" t="s">
        <v>4</v>
      </c>
      <c r="D32" s="81">
        <v>213.4</v>
      </c>
      <c r="E32" s="81">
        <v>222.7</v>
      </c>
      <c r="F32" s="81">
        <v>225.7</v>
      </c>
      <c r="G32" s="81">
        <v>227.2</v>
      </c>
      <c r="H32" s="81">
        <v>247.7</v>
      </c>
      <c r="I32" s="81">
        <v>274.2</v>
      </c>
      <c r="J32" s="81">
        <v>294.10000000000002</v>
      </c>
      <c r="K32" s="81">
        <v>309.2</v>
      </c>
      <c r="L32" s="81">
        <v>309.10000000000002</v>
      </c>
      <c r="M32" s="81">
        <v>310.7</v>
      </c>
      <c r="N32" s="81">
        <v>310.7</v>
      </c>
      <c r="O32" s="81">
        <v>310.7</v>
      </c>
      <c r="P32" s="81">
        <v>310.7</v>
      </c>
      <c r="Q32" s="81">
        <v>309.8</v>
      </c>
      <c r="R32" s="81">
        <v>309.8</v>
      </c>
      <c r="S32" s="81">
        <v>309.89999999999998</v>
      </c>
      <c r="T32" s="81">
        <v>309.8</v>
      </c>
      <c r="U32" s="81">
        <v>309.7</v>
      </c>
      <c r="V32" s="81">
        <v>282.47000000000003</v>
      </c>
      <c r="W32" s="81">
        <v>278.72090054412399</v>
      </c>
      <c r="X32" s="81">
        <v>278.49290054412398</v>
      </c>
      <c r="Y32" s="81">
        <v>271.80590054412397</v>
      </c>
      <c r="Z32" s="81">
        <v>271.16090054412399</v>
      </c>
    </row>
    <row r="33" spans="1:26">
      <c r="B33" s="24" t="s">
        <v>68</v>
      </c>
      <c r="C33" s="60" t="s">
        <v>4</v>
      </c>
      <c r="D33" s="81">
        <v>7</v>
      </c>
      <c r="E33" s="81">
        <v>8.3000000000000007</v>
      </c>
      <c r="F33" s="81">
        <v>12.3</v>
      </c>
      <c r="G33" s="81">
        <v>16.3</v>
      </c>
      <c r="H33" s="81">
        <v>25.7</v>
      </c>
      <c r="I33" s="81">
        <v>25.9</v>
      </c>
      <c r="J33" s="81">
        <v>29.5</v>
      </c>
      <c r="K33" s="81">
        <v>31.8</v>
      </c>
      <c r="L33" s="81">
        <v>38.1</v>
      </c>
      <c r="M33" s="81">
        <v>40.200000000000003</v>
      </c>
      <c r="N33" s="81">
        <v>41.8</v>
      </c>
      <c r="O33" s="81">
        <v>43.5</v>
      </c>
      <c r="P33" s="81">
        <v>44.7</v>
      </c>
      <c r="Q33" s="81">
        <v>47.6</v>
      </c>
      <c r="R33" s="81">
        <v>47.6</v>
      </c>
      <c r="S33" s="81">
        <v>47.5</v>
      </c>
      <c r="T33" s="81">
        <v>47.4</v>
      </c>
      <c r="U33" s="81">
        <v>47.4</v>
      </c>
      <c r="V33" s="81">
        <v>49.28</v>
      </c>
      <c r="W33" s="81">
        <v>45.773824731324297</v>
      </c>
      <c r="X33" s="81">
        <v>40.053185892485502</v>
      </c>
      <c r="Y33" s="81">
        <v>37.243185892485499</v>
      </c>
      <c r="Z33" s="81">
        <v>37.138185892485502</v>
      </c>
    </row>
    <row r="34" spans="1:26">
      <c r="B34" s="24" t="s">
        <v>69</v>
      </c>
      <c r="C34" s="60" t="s">
        <v>4</v>
      </c>
      <c r="D34" s="81">
        <v>15.9</v>
      </c>
      <c r="E34" s="81">
        <v>5.3</v>
      </c>
      <c r="F34" s="81">
        <v>5.4</v>
      </c>
      <c r="G34" s="81">
        <v>9.5</v>
      </c>
      <c r="H34" s="81">
        <v>9.5</v>
      </c>
      <c r="I34" s="81">
        <v>9.5</v>
      </c>
      <c r="J34" s="81">
        <v>7.9</v>
      </c>
      <c r="K34" s="81">
        <v>7.9</v>
      </c>
      <c r="L34" s="81">
        <v>7.7</v>
      </c>
      <c r="M34" s="81">
        <v>7.7</v>
      </c>
      <c r="N34" s="81">
        <v>7.7</v>
      </c>
      <c r="O34" s="81">
        <v>7.7</v>
      </c>
      <c r="P34" s="81">
        <v>7.7</v>
      </c>
      <c r="Q34" s="81">
        <v>7.4</v>
      </c>
      <c r="R34" s="81">
        <v>7.4</v>
      </c>
      <c r="S34" s="81">
        <v>7.4</v>
      </c>
      <c r="T34" s="81">
        <v>7.4</v>
      </c>
      <c r="U34" s="81">
        <v>7.4</v>
      </c>
      <c r="V34" s="81">
        <v>8.73</v>
      </c>
      <c r="W34" s="81">
        <v>8.6931071512714908</v>
      </c>
      <c r="X34" s="81">
        <v>8.8221071512714904</v>
      </c>
      <c r="Y34" s="81">
        <v>8.5772271512714902</v>
      </c>
      <c r="Z34" s="81">
        <v>8.5772271512714902</v>
      </c>
    </row>
    <row r="35" spans="1:26">
      <c r="B35" s="27" t="s">
        <v>215</v>
      </c>
      <c r="C35" s="62" t="s">
        <v>4</v>
      </c>
      <c r="D35" s="90">
        <v>1627.8</v>
      </c>
      <c r="E35" s="90">
        <v>1665.7</v>
      </c>
      <c r="F35" s="90">
        <v>1716.2</v>
      </c>
      <c r="G35" s="90">
        <v>1739.4</v>
      </c>
      <c r="H35" s="90">
        <v>1817.8</v>
      </c>
      <c r="I35" s="90">
        <v>1902.9</v>
      </c>
      <c r="J35" s="90">
        <v>1972.5</v>
      </c>
      <c r="K35" s="90">
        <v>2020.2</v>
      </c>
      <c r="L35" s="90">
        <v>2008.9</v>
      </c>
      <c r="M35" s="90">
        <v>2016.6</v>
      </c>
      <c r="N35" s="90">
        <v>2012.6</v>
      </c>
      <c r="O35" s="90">
        <v>2012.5</v>
      </c>
      <c r="P35" s="90">
        <v>1999.7</v>
      </c>
      <c r="Q35" s="90">
        <v>1973.4</v>
      </c>
      <c r="R35" s="90">
        <v>1974.8</v>
      </c>
      <c r="S35" s="90">
        <v>1955.1</v>
      </c>
      <c r="T35" s="90">
        <v>1942.7</v>
      </c>
      <c r="U35" s="90">
        <v>1933.4</v>
      </c>
      <c r="V35" s="90">
        <v>1774.67</v>
      </c>
      <c r="W35" s="90">
        <v>1744.17805278534</v>
      </c>
      <c r="X35" s="90">
        <v>1716.0373293217799</v>
      </c>
      <c r="Y35" s="90">
        <v>1708.41034505569</v>
      </c>
      <c r="Z35" s="90">
        <v>1706.94975505569</v>
      </c>
    </row>
    <row r="36" spans="1:26" ht="48.75" customHeight="1">
      <c r="D36" s="167" t="s">
        <v>216</v>
      </c>
      <c r="E36" s="167"/>
      <c r="F36" s="167"/>
      <c r="G36" s="167"/>
      <c r="H36" s="167"/>
      <c r="I36" s="167"/>
      <c r="J36" s="167"/>
      <c r="K36" s="167"/>
      <c r="L36" s="167"/>
      <c r="M36" s="167"/>
      <c r="N36" s="167"/>
      <c r="O36" s="167"/>
      <c r="P36" s="167"/>
      <c r="Q36" s="167"/>
      <c r="R36" s="167"/>
      <c r="S36" s="167"/>
      <c r="T36" s="167"/>
      <c r="U36" s="167"/>
      <c r="V36" s="167"/>
      <c r="W36" s="167"/>
      <c r="X36" s="167"/>
      <c r="Y36" s="167"/>
      <c r="Z36" s="167"/>
    </row>
    <row r="37" spans="1:26">
      <c r="A37" t="s">
        <v>2</v>
      </c>
    </row>
    <row r="38" spans="1:26">
      <c r="A38" t="s">
        <v>2</v>
      </c>
    </row>
    <row r="39" spans="1:26">
      <c r="A39" t="s">
        <v>2</v>
      </c>
    </row>
    <row r="40" spans="1:26">
      <c r="A40" t="s">
        <v>2</v>
      </c>
    </row>
    <row r="41" spans="1:26">
      <c r="A41" t="s">
        <v>2</v>
      </c>
    </row>
    <row r="42" spans="1:26">
      <c r="A42" t="s">
        <v>2</v>
      </c>
    </row>
    <row r="43" spans="1:26">
      <c r="A43" t="s">
        <v>2</v>
      </c>
    </row>
    <row r="44" spans="1:26">
      <c r="A44" t="s">
        <v>2</v>
      </c>
    </row>
    <row r="45" spans="1:26">
      <c r="A45" t="s">
        <v>2</v>
      </c>
    </row>
  </sheetData>
  <mergeCells count="2">
    <mergeCell ref="A2:X2"/>
    <mergeCell ref="D36:Z36"/>
  </mergeCells>
  <phoneticPr fontId="14" type="noConversion"/>
  <conditionalFormatting sqref="D5:Z13">
    <cfRule type="cellIs" dxfId="60" priority="3" operator="lessThan">
      <formula>0</formula>
    </cfRule>
  </conditionalFormatting>
  <conditionalFormatting sqref="D16:Z24">
    <cfRule type="cellIs" dxfId="59" priority="2" operator="lessThan">
      <formula>0</formula>
    </cfRule>
  </conditionalFormatting>
  <conditionalFormatting sqref="D27:Z35">
    <cfRule type="cellIs" dxfId="58" priority="1"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F070D-5D11-4A67-A81B-FFE460324CF9}">
  <dimension ref="A1:Z45"/>
  <sheetViews>
    <sheetView topLeftCell="D20" zoomScaleNormal="100" workbookViewId="0">
      <selection activeCell="A13" sqref="A13:N13"/>
    </sheetView>
  </sheetViews>
  <sheetFormatPr defaultColWidth="9.26953125" defaultRowHeight="14.5"/>
  <cols>
    <col min="1" max="1" width="3" customWidth="1"/>
    <col min="2" max="2" width="18.81640625" customWidth="1"/>
    <col min="3" max="3" width="6.26953125" style="61" bestFit="1" customWidth="1"/>
    <col min="4" max="23" width="7" bestFit="1" customWidth="1"/>
    <col min="24" max="26" width="6.81640625" customWidth="1"/>
  </cols>
  <sheetData>
    <row r="1" spans="1:26" ht="71.25" customHeight="1">
      <c r="A1" t="s">
        <v>2</v>
      </c>
    </row>
    <row r="2" spans="1:26" ht="21">
      <c r="A2" s="162" t="s">
        <v>279</v>
      </c>
      <c r="B2" s="162"/>
      <c r="C2" s="162"/>
      <c r="D2" s="162"/>
      <c r="E2" s="162"/>
      <c r="F2" s="162"/>
      <c r="G2" s="162"/>
      <c r="H2" s="162"/>
      <c r="I2" s="162"/>
      <c r="J2" s="162"/>
      <c r="K2" s="162"/>
      <c r="L2" s="162"/>
      <c r="M2" s="162"/>
      <c r="N2" s="162"/>
      <c r="O2" s="162"/>
      <c r="P2" s="162"/>
      <c r="Q2" s="162"/>
      <c r="R2" s="162"/>
      <c r="S2" s="162"/>
      <c r="T2" s="162"/>
      <c r="U2" s="162"/>
      <c r="V2" s="162"/>
      <c r="W2" s="162"/>
      <c r="X2" s="162"/>
    </row>
    <row r="3" spans="1:26" s="21" customFormat="1" ht="12">
      <c r="A3" s="64" t="s">
        <v>38</v>
      </c>
      <c r="B3" s="64" t="s">
        <v>38</v>
      </c>
      <c r="C3" s="66" t="s">
        <v>37</v>
      </c>
      <c r="D3" s="64" t="s">
        <v>296</v>
      </c>
      <c r="E3" s="64" t="s">
        <v>297</v>
      </c>
      <c r="F3" s="64" t="s">
        <v>298</v>
      </c>
      <c r="G3" s="64" t="s">
        <v>299</v>
      </c>
      <c r="H3" s="64" t="s">
        <v>300</v>
      </c>
      <c r="I3" s="64" t="s">
        <v>281</v>
      </c>
      <c r="J3" s="64" t="s">
        <v>282</v>
      </c>
      <c r="K3" s="64" t="s">
        <v>283</v>
      </c>
      <c r="L3" s="64" t="s">
        <v>284</v>
      </c>
      <c r="M3" s="64" t="s">
        <v>285</v>
      </c>
      <c r="N3" s="64" t="s">
        <v>286</v>
      </c>
      <c r="O3" s="64" t="s">
        <v>287</v>
      </c>
      <c r="P3" s="64" t="s">
        <v>288</v>
      </c>
      <c r="Q3" s="64" t="s">
        <v>289</v>
      </c>
      <c r="R3" s="64" t="s">
        <v>290</v>
      </c>
      <c r="S3" s="64" t="s">
        <v>291</v>
      </c>
      <c r="T3" s="64" t="s">
        <v>292</v>
      </c>
      <c r="U3" s="64" t="s">
        <v>293</v>
      </c>
      <c r="V3" s="64" t="s">
        <v>294</v>
      </c>
      <c r="W3" s="64" t="s">
        <v>295</v>
      </c>
      <c r="X3" s="64" t="s">
        <v>305</v>
      </c>
      <c r="Y3" s="64" t="s">
        <v>313</v>
      </c>
      <c r="Z3" s="64" t="s">
        <v>328</v>
      </c>
    </row>
    <row r="4" spans="1:26">
      <c r="A4" s="23" t="s">
        <v>61</v>
      </c>
    </row>
    <row r="5" spans="1:26">
      <c r="B5" s="24" t="s">
        <v>62</v>
      </c>
      <c r="C5" s="60" t="s">
        <v>4</v>
      </c>
      <c r="D5" s="81">
        <v>1.8</v>
      </c>
      <c r="E5" s="81">
        <v>1.8</v>
      </c>
      <c r="F5" s="81">
        <v>2</v>
      </c>
      <c r="G5" s="81">
        <v>3.3</v>
      </c>
      <c r="H5" s="81">
        <v>7.4</v>
      </c>
      <c r="I5" s="81">
        <v>8</v>
      </c>
      <c r="J5" s="81">
        <v>11.1</v>
      </c>
      <c r="K5" s="81">
        <v>10.9</v>
      </c>
      <c r="L5" s="81">
        <v>1</v>
      </c>
      <c r="M5" s="81">
        <v>0</v>
      </c>
      <c r="N5" s="81">
        <v>0</v>
      </c>
      <c r="O5" s="81">
        <v>0</v>
      </c>
      <c r="P5" s="81">
        <v>0</v>
      </c>
      <c r="Q5" s="81">
        <v>0</v>
      </c>
      <c r="R5" s="81">
        <v>0</v>
      </c>
      <c r="S5" s="81">
        <v>0</v>
      </c>
      <c r="T5" s="81">
        <v>0</v>
      </c>
      <c r="U5" s="81">
        <v>0</v>
      </c>
      <c r="V5" s="81">
        <v>0</v>
      </c>
      <c r="W5" s="81">
        <v>0</v>
      </c>
      <c r="X5" s="96">
        <v>0</v>
      </c>
      <c r="Y5" s="96">
        <v>0</v>
      </c>
      <c r="Z5" s="96">
        <v>1.4999999999999999E-2</v>
      </c>
    </row>
    <row r="6" spans="1:26">
      <c r="B6" s="24" t="s">
        <v>63</v>
      </c>
      <c r="C6" s="60" t="s">
        <v>4</v>
      </c>
      <c r="D6" s="81">
        <v>12.1</v>
      </c>
      <c r="E6" s="81">
        <v>8</v>
      </c>
      <c r="F6" s="81">
        <v>11.9</v>
      </c>
      <c r="G6" s="81">
        <v>10.3</v>
      </c>
      <c r="H6" s="81">
        <v>10.6</v>
      </c>
      <c r="I6" s="81">
        <v>15.7</v>
      </c>
      <c r="J6" s="81">
        <v>9.8000000000000007</v>
      </c>
      <c r="K6" s="81">
        <v>2.5</v>
      </c>
      <c r="L6" s="81">
        <v>2.2999999999999998</v>
      </c>
      <c r="M6" s="81">
        <v>3.1</v>
      </c>
      <c r="N6" s="81">
        <v>1</v>
      </c>
      <c r="O6" s="81">
        <v>0</v>
      </c>
      <c r="P6" s="81">
        <v>0</v>
      </c>
      <c r="Q6" s="81">
        <v>0</v>
      </c>
      <c r="R6" s="81">
        <v>0</v>
      </c>
      <c r="S6" s="81">
        <v>0</v>
      </c>
      <c r="T6" s="81">
        <v>0</v>
      </c>
      <c r="U6" s="81">
        <v>0</v>
      </c>
      <c r="V6" s="81">
        <v>0.3</v>
      </c>
      <c r="W6" s="81">
        <v>0.22900000000000001</v>
      </c>
      <c r="X6" s="96">
        <v>0.2</v>
      </c>
      <c r="Y6" s="96">
        <v>0.22900000000000001</v>
      </c>
      <c r="Z6" s="96">
        <v>0</v>
      </c>
    </row>
    <row r="7" spans="1:26">
      <c r="B7" s="24" t="s">
        <v>64</v>
      </c>
      <c r="C7" s="60" t="s">
        <v>4</v>
      </c>
      <c r="D7" s="81">
        <v>8.1999999999999993</v>
      </c>
      <c r="E7" s="81">
        <v>4.9000000000000004</v>
      </c>
      <c r="F7" s="81">
        <v>4.5999999999999996</v>
      </c>
      <c r="G7" s="81">
        <v>8.9</v>
      </c>
      <c r="H7" s="81">
        <v>5.3</v>
      </c>
      <c r="I7" s="81">
        <v>6.7</v>
      </c>
      <c r="J7" s="81">
        <v>9.9</v>
      </c>
      <c r="K7" s="81">
        <v>5.6</v>
      </c>
      <c r="L7" s="81">
        <v>3</v>
      </c>
      <c r="M7" s="81">
        <v>1.1000000000000001</v>
      </c>
      <c r="N7" s="81">
        <v>0.5</v>
      </c>
      <c r="O7" s="81">
        <v>0.1</v>
      </c>
      <c r="P7" s="81">
        <v>0.1</v>
      </c>
      <c r="Q7" s="81">
        <v>0.2</v>
      </c>
      <c r="R7" s="81">
        <v>0</v>
      </c>
      <c r="S7" s="81">
        <v>0</v>
      </c>
      <c r="T7" s="81">
        <v>0</v>
      </c>
      <c r="U7" s="81">
        <v>0</v>
      </c>
      <c r="V7" s="81">
        <v>0</v>
      </c>
      <c r="W7" s="81">
        <v>0</v>
      </c>
      <c r="X7" s="96">
        <v>0</v>
      </c>
      <c r="Y7" s="96">
        <v>0</v>
      </c>
      <c r="Z7" s="96">
        <v>0</v>
      </c>
    </row>
    <row r="8" spans="1:26">
      <c r="B8" s="24" t="s">
        <v>65</v>
      </c>
      <c r="C8" s="60" t="s">
        <v>4</v>
      </c>
      <c r="D8" s="81">
        <v>4.4000000000000004</v>
      </c>
      <c r="E8" s="81">
        <v>0.6</v>
      </c>
      <c r="F8" s="81">
        <v>3.9</v>
      </c>
      <c r="G8" s="81">
        <v>5.9</v>
      </c>
      <c r="H8" s="81">
        <v>5.5</v>
      </c>
      <c r="I8" s="81">
        <v>7.1</v>
      </c>
      <c r="J8" s="81">
        <v>3.5</v>
      </c>
      <c r="K8" s="81">
        <v>0.2</v>
      </c>
      <c r="L8" s="81">
        <v>0</v>
      </c>
      <c r="M8" s="81">
        <v>0</v>
      </c>
      <c r="N8" s="81">
        <v>0</v>
      </c>
      <c r="O8" s="81">
        <v>0</v>
      </c>
      <c r="P8" s="81">
        <v>0</v>
      </c>
      <c r="Q8" s="81">
        <v>0</v>
      </c>
      <c r="R8" s="81">
        <v>0</v>
      </c>
      <c r="S8" s="81">
        <v>0</v>
      </c>
      <c r="T8" s="81">
        <v>0.1</v>
      </c>
      <c r="U8" s="81">
        <v>0</v>
      </c>
      <c r="V8" s="81">
        <v>0</v>
      </c>
      <c r="W8" s="81">
        <v>0</v>
      </c>
      <c r="X8" s="96">
        <v>0</v>
      </c>
      <c r="Y8" s="96">
        <v>0</v>
      </c>
      <c r="Z8" s="96">
        <v>0</v>
      </c>
    </row>
    <row r="9" spans="1:26">
      <c r="B9" s="24" t="s">
        <v>66</v>
      </c>
      <c r="C9" s="60" t="s">
        <v>4</v>
      </c>
      <c r="D9" s="81">
        <v>12.8</v>
      </c>
      <c r="E9" s="81">
        <v>5.4</v>
      </c>
      <c r="F9" s="81">
        <v>7.8</v>
      </c>
      <c r="G9" s="81">
        <v>21.6</v>
      </c>
      <c r="H9" s="81">
        <v>10.5</v>
      </c>
      <c r="I9" s="81">
        <v>13.4</v>
      </c>
      <c r="J9" s="81">
        <v>10.3</v>
      </c>
      <c r="K9" s="81">
        <v>6.8</v>
      </c>
      <c r="L9" s="81">
        <v>7.8</v>
      </c>
      <c r="M9" s="81">
        <v>0.4</v>
      </c>
      <c r="N9" s="81">
        <v>0.4</v>
      </c>
      <c r="O9" s="81">
        <v>0.1</v>
      </c>
      <c r="P9" s="81">
        <v>0</v>
      </c>
      <c r="Q9" s="81">
        <v>0</v>
      </c>
      <c r="R9" s="81">
        <v>0</v>
      </c>
      <c r="S9" s="81">
        <v>0.1</v>
      </c>
      <c r="T9" s="81">
        <v>1.4</v>
      </c>
      <c r="U9" s="81">
        <v>0</v>
      </c>
      <c r="V9" s="81">
        <v>0</v>
      </c>
      <c r="W9" s="81">
        <v>0.20487</v>
      </c>
      <c r="X9" s="96">
        <v>0</v>
      </c>
      <c r="Y9" s="96">
        <v>0.19087000000000001</v>
      </c>
      <c r="Z9" s="96">
        <v>0.20699999999999999</v>
      </c>
    </row>
    <row r="10" spans="1:26">
      <c r="B10" s="24" t="s">
        <v>67</v>
      </c>
      <c r="C10" s="60" t="s">
        <v>4</v>
      </c>
      <c r="D10" s="81">
        <v>9.6999999999999993</v>
      </c>
      <c r="E10" s="81">
        <v>9.5</v>
      </c>
      <c r="F10" s="81">
        <v>11.6</v>
      </c>
      <c r="G10" s="81">
        <v>10</v>
      </c>
      <c r="H10" s="81">
        <v>18.5</v>
      </c>
      <c r="I10" s="81">
        <v>25</v>
      </c>
      <c r="J10" s="81">
        <v>18</v>
      </c>
      <c r="K10" s="81">
        <v>14.9</v>
      </c>
      <c r="L10" s="81">
        <v>3.9</v>
      </c>
      <c r="M10" s="81">
        <v>1.2</v>
      </c>
      <c r="N10" s="81">
        <v>0.1</v>
      </c>
      <c r="O10" s="81">
        <v>0</v>
      </c>
      <c r="P10" s="81">
        <v>0</v>
      </c>
      <c r="Q10" s="81">
        <v>0</v>
      </c>
      <c r="R10" s="81">
        <v>0</v>
      </c>
      <c r="S10" s="81">
        <v>0</v>
      </c>
      <c r="T10" s="81">
        <v>0</v>
      </c>
      <c r="U10" s="81">
        <v>0</v>
      </c>
      <c r="V10" s="81">
        <v>0</v>
      </c>
      <c r="W10" s="81">
        <v>0</v>
      </c>
      <c r="X10" s="96">
        <v>2.9000000000000001E-2</v>
      </c>
      <c r="Y10" s="96">
        <v>0.26900000000000002</v>
      </c>
      <c r="Z10" s="96">
        <v>0</v>
      </c>
    </row>
    <row r="11" spans="1:26">
      <c r="B11" s="24" t="s">
        <v>68</v>
      </c>
      <c r="C11" s="60" t="s">
        <v>4</v>
      </c>
      <c r="D11" s="81">
        <v>0.2</v>
      </c>
      <c r="E11" s="81">
        <v>1.3</v>
      </c>
      <c r="F11" s="81">
        <v>4.5</v>
      </c>
      <c r="G11" s="81">
        <v>5.7</v>
      </c>
      <c r="H11" s="81">
        <v>9.4</v>
      </c>
      <c r="I11" s="81">
        <v>0.2</v>
      </c>
      <c r="J11" s="81">
        <v>3.6</v>
      </c>
      <c r="K11" s="81">
        <v>2.2999999999999998</v>
      </c>
      <c r="L11" s="81">
        <v>3</v>
      </c>
      <c r="M11" s="81">
        <v>2.2000000000000002</v>
      </c>
      <c r="N11" s="81">
        <v>1.6</v>
      </c>
      <c r="O11" s="81">
        <v>1.7</v>
      </c>
      <c r="P11" s="81">
        <v>1.2</v>
      </c>
      <c r="Q11" s="81">
        <v>0.4</v>
      </c>
      <c r="R11" s="81">
        <v>0</v>
      </c>
      <c r="S11" s="81">
        <v>0</v>
      </c>
      <c r="T11" s="81">
        <v>0</v>
      </c>
      <c r="U11" s="81">
        <v>0</v>
      </c>
      <c r="V11" s="81">
        <v>0</v>
      </c>
      <c r="W11" s="81">
        <v>0</v>
      </c>
      <c r="X11" s="96">
        <v>0.82299999999999995</v>
      </c>
      <c r="Y11" s="96">
        <v>0</v>
      </c>
      <c r="Z11" s="96">
        <v>0</v>
      </c>
    </row>
    <row r="12" spans="1:26">
      <c r="B12" s="24" t="s">
        <v>69</v>
      </c>
      <c r="C12" s="60" t="s">
        <v>4</v>
      </c>
      <c r="D12" s="81">
        <v>0</v>
      </c>
      <c r="E12" s="81">
        <v>0</v>
      </c>
      <c r="F12" s="81">
        <v>0</v>
      </c>
      <c r="G12" s="81">
        <v>0</v>
      </c>
      <c r="H12" s="81">
        <v>0</v>
      </c>
      <c r="I12" s="81">
        <v>0</v>
      </c>
      <c r="J12" s="81">
        <v>0</v>
      </c>
      <c r="K12" s="81">
        <v>0</v>
      </c>
      <c r="L12" s="81">
        <v>0</v>
      </c>
      <c r="M12" s="81">
        <v>0</v>
      </c>
      <c r="N12" s="81">
        <v>0</v>
      </c>
      <c r="O12" s="81">
        <v>0</v>
      </c>
      <c r="P12" s="81">
        <v>0</v>
      </c>
      <c r="Q12" s="81">
        <v>0</v>
      </c>
      <c r="R12" s="81">
        <v>0</v>
      </c>
      <c r="S12" s="81">
        <v>0</v>
      </c>
      <c r="T12" s="81">
        <v>0</v>
      </c>
      <c r="U12" s="81">
        <v>0</v>
      </c>
      <c r="V12" s="81">
        <v>0</v>
      </c>
      <c r="W12" s="81">
        <v>0</v>
      </c>
      <c r="X12" s="96">
        <v>0.129</v>
      </c>
      <c r="Y12" s="96">
        <v>0</v>
      </c>
      <c r="Z12" s="96">
        <v>0</v>
      </c>
    </row>
    <row r="13" spans="1:26">
      <c r="B13" s="24" t="s">
        <v>70</v>
      </c>
      <c r="C13" s="60" t="s">
        <v>4</v>
      </c>
      <c r="D13" s="81">
        <v>49.2</v>
      </c>
      <c r="E13" s="81">
        <v>31.4</v>
      </c>
      <c r="F13" s="81">
        <v>46.3</v>
      </c>
      <c r="G13" s="81">
        <v>65.599999999999994</v>
      </c>
      <c r="H13" s="81">
        <v>67.3</v>
      </c>
      <c r="I13" s="81">
        <v>76.099999999999994</v>
      </c>
      <c r="J13" s="81">
        <v>66</v>
      </c>
      <c r="K13" s="81">
        <v>43.2</v>
      </c>
      <c r="L13" s="81">
        <v>20.8</v>
      </c>
      <c r="M13" s="81">
        <v>7.9</v>
      </c>
      <c r="N13" s="81">
        <v>3.6</v>
      </c>
      <c r="O13" s="81">
        <v>2</v>
      </c>
      <c r="P13" s="81">
        <v>1.3</v>
      </c>
      <c r="Q13" s="81">
        <v>0.5</v>
      </c>
      <c r="R13" s="81">
        <v>0</v>
      </c>
      <c r="S13" s="81">
        <v>0.1</v>
      </c>
      <c r="T13" s="81">
        <v>1.5</v>
      </c>
      <c r="U13" s="81">
        <v>0.1</v>
      </c>
      <c r="V13" s="81">
        <v>0.3</v>
      </c>
      <c r="W13" s="81">
        <v>0.43386999999999998</v>
      </c>
      <c r="X13" s="96">
        <v>1.181</v>
      </c>
      <c r="Y13" s="96">
        <v>0.68886999999999998</v>
      </c>
      <c r="Z13" s="96">
        <v>0.222</v>
      </c>
    </row>
    <row r="14" spans="1:26">
      <c r="A14" t="s">
        <v>2</v>
      </c>
      <c r="D14" s="81"/>
      <c r="E14" s="81"/>
      <c r="F14" s="81"/>
      <c r="G14" s="81"/>
      <c r="H14" s="81"/>
      <c r="I14" s="81"/>
      <c r="J14" s="81"/>
      <c r="K14" s="81"/>
      <c r="L14" s="81"/>
      <c r="M14" s="81"/>
      <c r="N14" s="81"/>
      <c r="O14" s="81"/>
      <c r="P14" s="81"/>
      <c r="Q14" s="81"/>
      <c r="R14" s="81"/>
      <c r="S14" s="81"/>
      <c r="T14" s="81"/>
      <c r="U14" s="81"/>
      <c r="V14" s="81"/>
      <c r="W14" s="81"/>
      <c r="X14" s="97"/>
      <c r="Y14" s="97"/>
      <c r="Z14" s="97"/>
    </row>
    <row r="15" spans="1:26">
      <c r="A15" s="23" t="s">
        <v>42</v>
      </c>
      <c r="D15" s="81"/>
      <c r="E15" s="81"/>
      <c r="F15" s="81"/>
      <c r="G15" s="81"/>
      <c r="H15" s="81"/>
      <c r="I15" s="81"/>
      <c r="J15" s="81"/>
      <c r="K15" s="81"/>
      <c r="L15" s="81"/>
      <c r="M15" s="81"/>
      <c r="N15" s="81"/>
      <c r="O15" s="81"/>
      <c r="P15" s="81"/>
      <c r="Q15" s="81"/>
      <c r="R15" s="81"/>
      <c r="S15" s="81"/>
      <c r="T15" s="81"/>
      <c r="U15" s="81"/>
      <c r="V15" s="81"/>
      <c r="W15" s="81"/>
      <c r="X15" s="97"/>
      <c r="Y15" s="97"/>
      <c r="Z15" s="97"/>
    </row>
    <row r="16" spans="1:26">
      <c r="B16" s="24" t="s">
        <v>62</v>
      </c>
      <c r="C16" s="60" t="s">
        <v>4</v>
      </c>
      <c r="D16" s="81">
        <v>1.4</v>
      </c>
      <c r="E16" s="81">
        <v>2.7</v>
      </c>
      <c r="F16" s="81">
        <v>4.4000000000000004</v>
      </c>
      <c r="G16" s="81">
        <v>4.0999999999999996</v>
      </c>
      <c r="H16" s="81">
        <v>6.4</v>
      </c>
      <c r="I16" s="81">
        <v>5.7</v>
      </c>
      <c r="J16" s="81">
        <v>0.9</v>
      </c>
      <c r="K16" s="81">
        <v>2.2999999999999998</v>
      </c>
      <c r="L16" s="81">
        <v>0.4</v>
      </c>
      <c r="M16" s="81">
        <v>0.3</v>
      </c>
      <c r="N16" s="81">
        <v>0.3</v>
      </c>
      <c r="O16" s="81">
        <v>0.3</v>
      </c>
      <c r="P16" s="81">
        <v>0.2</v>
      </c>
      <c r="Q16" s="81">
        <v>0.1</v>
      </c>
      <c r="R16" s="81">
        <v>1.4</v>
      </c>
      <c r="S16" s="81">
        <v>0</v>
      </c>
      <c r="T16" s="81">
        <v>0</v>
      </c>
      <c r="U16" s="81">
        <v>0</v>
      </c>
      <c r="V16" s="81">
        <v>0</v>
      </c>
      <c r="W16" s="81">
        <v>0</v>
      </c>
      <c r="X16" s="96">
        <v>0.373</v>
      </c>
      <c r="Y16" s="96">
        <v>2.8721640070282199</v>
      </c>
      <c r="Z16" s="96">
        <v>1.9219999999999999</v>
      </c>
    </row>
    <row r="17" spans="1:26">
      <c r="B17" s="24" t="s">
        <v>63</v>
      </c>
      <c r="C17" s="60" t="s">
        <v>4</v>
      </c>
      <c r="D17" s="81">
        <v>0.4</v>
      </c>
      <c r="E17" s="81">
        <v>0.5</v>
      </c>
      <c r="F17" s="81">
        <v>0.5</v>
      </c>
      <c r="G17" s="81">
        <v>0.6</v>
      </c>
      <c r="H17" s="81">
        <v>0.5</v>
      </c>
      <c r="I17" s="81">
        <v>0.6</v>
      </c>
      <c r="J17" s="81">
        <v>0.5</v>
      </c>
      <c r="K17" s="81">
        <v>0.5</v>
      </c>
      <c r="L17" s="81">
        <v>0.8</v>
      </c>
      <c r="M17" s="81">
        <v>0</v>
      </c>
      <c r="N17" s="81">
        <v>0</v>
      </c>
      <c r="O17" s="81">
        <v>0</v>
      </c>
      <c r="P17" s="81">
        <v>0.1</v>
      </c>
      <c r="Q17" s="81">
        <v>0</v>
      </c>
      <c r="R17" s="81">
        <v>0</v>
      </c>
      <c r="S17" s="81">
        <v>0.1</v>
      </c>
      <c r="T17" s="81">
        <v>0</v>
      </c>
      <c r="U17" s="81">
        <v>0.1</v>
      </c>
      <c r="V17" s="81">
        <v>0</v>
      </c>
      <c r="W17" s="81">
        <v>0.12781000000000001</v>
      </c>
      <c r="X17" s="96">
        <v>0.16800000000000001</v>
      </c>
      <c r="Y17" s="96">
        <v>0.52126172688136097</v>
      </c>
      <c r="Z17" s="96">
        <v>0</v>
      </c>
    </row>
    <row r="18" spans="1:26">
      <c r="B18" s="24" t="s">
        <v>64</v>
      </c>
      <c r="C18" s="60" t="s">
        <v>4</v>
      </c>
      <c r="D18" s="81">
        <v>0.3</v>
      </c>
      <c r="E18" s="81">
        <v>0.6</v>
      </c>
      <c r="F18" s="81">
        <v>0.9</v>
      </c>
      <c r="G18" s="81">
        <v>0.8</v>
      </c>
      <c r="H18" s="81">
        <v>1.7</v>
      </c>
      <c r="I18" s="81">
        <v>1</v>
      </c>
      <c r="J18" s="81">
        <v>0.4</v>
      </c>
      <c r="K18" s="81">
        <v>1.2</v>
      </c>
      <c r="L18" s="81">
        <v>0.7</v>
      </c>
      <c r="M18" s="81">
        <v>0.8</v>
      </c>
      <c r="N18" s="81">
        <v>0.3</v>
      </c>
      <c r="O18" s="81">
        <v>0</v>
      </c>
      <c r="P18" s="81">
        <v>0</v>
      </c>
      <c r="Q18" s="81">
        <v>0</v>
      </c>
      <c r="R18" s="81">
        <v>0</v>
      </c>
      <c r="S18" s="81">
        <v>0</v>
      </c>
      <c r="T18" s="81">
        <v>0.1</v>
      </c>
      <c r="U18" s="81">
        <v>0</v>
      </c>
      <c r="V18" s="81">
        <v>0</v>
      </c>
      <c r="W18" s="81">
        <v>0</v>
      </c>
      <c r="X18" s="96">
        <v>5.9500000000000004E-3</v>
      </c>
      <c r="Y18" s="96">
        <v>0</v>
      </c>
      <c r="Z18" s="96">
        <v>0</v>
      </c>
    </row>
    <row r="19" spans="1:26">
      <c r="B19" s="24" t="s">
        <v>65</v>
      </c>
      <c r="C19" s="60" t="s">
        <v>4</v>
      </c>
      <c r="D19" s="81">
        <v>1.1000000000000001</v>
      </c>
      <c r="E19" s="81">
        <v>0.6</v>
      </c>
      <c r="F19" s="81">
        <v>0.1</v>
      </c>
      <c r="G19" s="81">
        <v>0.2</v>
      </c>
      <c r="H19" s="81">
        <v>0</v>
      </c>
      <c r="I19" s="81">
        <v>0.2</v>
      </c>
      <c r="J19" s="81">
        <v>0</v>
      </c>
      <c r="K19" s="81">
        <v>0.5</v>
      </c>
      <c r="L19" s="81">
        <v>0.1</v>
      </c>
      <c r="M19" s="81">
        <v>0.1</v>
      </c>
      <c r="N19" s="81">
        <v>0</v>
      </c>
      <c r="O19" s="81">
        <v>0</v>
      </c>
      <c r="P19" s="81">
        <v>0</v>
      </c>
      <c r="Q19" s="81">
        <v>0</v>
      </c>
      <c r="R19" s="81">
        <v>0</v>
      </c>
      <c r="S19" s="81">
        <v>0</v>
      </c>
      <c r="T19" s="81">
        <v>0</v>
      </c>
      <c r="U19" s="81">
        <v>0.9</v>
      </c>
      <c r="V19" s="81">
        <v>0</v>
      </c>
      <c r="W19" s="81">
        <v>1.91E-3</v>
      </c>
      <c r="X19" s="96">
        <v>0</v>
      </c>
      <c r="Y19" s="96">
        <v>0</v>
      </c>
      <c r="Z19" s="96">
        <v>0</v>
      </c>
    </row>
    <row r="20" spans="1:26">
      <c r="B20" s="24" t="s">
        <v>66</v>
      </c>
      <c r="C20" s="60" t="s">
        <v>4</v>
      </c>
      <c r="D20" s="81">
        <v>1.5</v>
      </c>
      <c r="E20" s="81">
        <v>5.2</v>
      </c>
      <c r="F20" s="81">
        <v>1.1000000000000001</v>
      </c>
      <c r="G20" s="81">
        <v>0.8</v>
      </c>
      <c r="H20" s="81">
        <v>0.6</v>
      </c>
      <c r="I20" s="81">
        <v>1.6</v>
      </c>
      <c r="J20" s="81">
        <v>2.5</v>
      </c>
      <c r="K20" s="81">
        <v>1.8</v>
      </c>
      <c r="L20" s="81">
        <v>0.5</v>
      </c>
      <c r="M20" s="81">
        <v>0</v>
      </c>
      <c r="N20" s="81">
        <v>0</v>
      </c>
      <c r="O20" s="81">
        <v>0</v>
      </c>
      <c r="P20" s="81">
        <v>0</v>
      </c>
      <c r="Q20" s="81">
        <v>0.3</v>
      </c>
      <c r="R20" s="81">
        <v>0.2</v>
      </c>
      <c r="S20" s="81">
        <v>0.5</v>
      </c>
      <c r="T20" s="81">
        <v>1.6</v>
      </c>
      <c r="U20" s="81">
        <v>1.7</v>
      </c>
      <c r="V20" s="81">
        <v>1.1000000000000001</v>
      </c>
      <c r="W20" s="81">
        <v>0.88854999999999995</v>
      </c>
      <c r="X20" s="96">
        <v>0.57250999999999996</v>
      </c>
      <c r="Y20" s="96">
        <v>0.40616000000000002</v>
      </c>
      <c r="Z20" s="96">
        <v>1.5847</v>
      </c>
    </row>
    <row r="21" spans="1:26">
      <c r="B21" s="24" t="s">
        <v>67</v>
      </c>
      <c r="C21" s="60" t="s">
        <v>4</v>
      </c>
      <c r="D21" s="81">
        <v>0.5</v>
      </c>
      <c r="E21" s="81">
        <v>1.4</v>
      </c>
      <c r="F21" s="81">
        <v>0.3</v>
      </c>
      <c r="G21" s="81">
        <v>0</v>
      </c>
      <c r="H21" s="81">
        <v>2</v>
      </c>
      <c r="I21" s="81">
        <v>1.4</v>
      </c>
      <c r="J21" s="81">
        <v>2</v>
      </c>
      <c r="K21" s="81">
        <v>0.1</v>
      </c>
      <c r="L21" s="81">
        <v>0.2</v>
      </c>
      <c r="M21" s="81">
        <v>0.4</v>
      </c>
      <c r="N21" s="81">
        <v>0</v>
      </c>
      <c r="O21" s="81">
        <v>0</v>
      </c>
      <c r="P21" s="81">
        <v>0</v>
      </c>
      <c r="Q21" s="81">
        <v>0</v>
      </c>
      <c r="R21" s="81">
        <v>0</v>
      </c>
      <c r="S21" s="81">
        <v>0</v>
      </c>
      <c r="T21" s="81">
        <v>0</v>
      </c>
      <c r="U21" s="81">
        <v>0</v>
      </c>
      <c r="V21" s="81">
        <v>0</v>
      </c>
      <c r="W21" s="81">
        <v>6.0999999999999999E-2</v>
      </c>
      <c r="X21" s="96">
        <v>0</v>
      </c>
      <c r="Y21" s="96">
        <v>0</v>
      </c>
      <c r="Z21" s="96">
        <v>0</v>
      </c>
    </row>
    <row r="22" spans="1:26">
      <c r="B22" s="24" t="s">
        <v>68</v>
      </c>
      <c r="C22" s="60" t="s">
        <v>4</v>
      </c>
      <c r="D22" s="81">
        <v>0</v>
      </c>
      <c r="E22" s="81">
        <v>0</v>
      </c>
      <c r="F22" s="81">
        <v>0</v>
      </c>
      <c r="G22" s="81">
        <v>0</v>
      </c>
      <c r="H22" s="81">
        <v>0</v>
      </c>
      <c r="I22" s="81">
        <v>0</v>
      </c>
      <c r="J22" s="81">
        <v>0</v>
      </c>
      <c r="K22" s="81">
        <v>0</v>
      </c>
      <c r="L22" s="81">
        <v>0</v>
      </c>
      <c r="M22" s="81">
        <v>0</v>
      </c>
      <c r="N22" s="81">
        <v>0</v>
      </c>
      <c r="O22" s="81">
        <v>0</v>
      </c>
      <c r="P22" s="81">
        <v>0</v>
      </c>
      <c r="Q22" s="81">
        <v>0</v>
      </c>
      <c r="R22" s="81">
        <v>0</v>
      </c>
      <c r="S22" s="81">
        <v>0</v>
      </c>
      <c r="T22" s="81">
        <v>0</v>
      </c>
      <c r="U22" s="81">
        <v>0</v>
      </c>
      <c r="V22" s="81">
        <v>0</v>
      </c>
      <c r="W22" s="81">
        <v>0</v>
      </c>
      <c r="X22" s="96">
        <v>0</v>
      </c>
      <c r="Y22" s="96">
        <v>0</v>
      </c>
      <c r="Z22" s="96">
        <v>0</v>
      </c>
    </row>
    <row r="23" spans="1:26">
      <c r="B23" s="24" t="s">
        <v>69</v>
      </c>
      <c r="C23" s="60" t="s">
        <v>4</v>
      </c>
      <c r="D23" s="81">
        <v>0</v>
      </c>
      <c r="E23" s="81">
        <v>0</v>
      </c>
      <c r="F23" s="81">
        <v>0</v>
      </c>
      <c r="G23" s="81">
        <v>0</v>
      </c>
      <c r="H23" s="81">
        <v>0</v>
      </c>
      <c r="I23" s="81">
        <v>0</v>
      </c>
      <c r="J23" s="81">
        <v>0</v>
      </c>
      <c r="K23" s="81">
        <v>0</v>
      </c>
      <c r="L23" s="81">
        <v>0</v>
      </c>
      <c r="M23" s="81">
        <v>0</v>
      </c>
      <c r="N23" s="81">
        <v>0</v>
      </c>
      <c r="O23" s="81">
        <v>0</v>
      </c>
      <c r="P23" s="81">
        <v>0</v>
      </c>
      <c r="Q23" s="81">
        <v>0</v>
      </c>
      <c r="R23" s="81">
        <v>0</v>
      </c>
      <c r="S23" s="81">
        <v>0</v>
      </c>
      <c r="T23" s="81">
        <v>0</v>
      </c>
      <c r="U23" s="81">
        <v>0</v>
      </c>
      <c r="V23" s="81">
        <v>0</v>
      </c>
      <c r="W23" s="81">
        <v>0</v>
      </c>
      <c r="X23" s="96">
        <v>0</v>
      </c>
      <c r="Y23" s="96">
        <v>0</v>
      </c>
      <c r="Z23" s="96">
        <v>0</v>
      </c>
    </row>
    <row r="24" spans="1:26">
      <c r="B24" s="24" t="s">
        <v>70</v>
      </c>
      <c r="C24" s="60" t="s">
        <v>4</v>
      </c>
      <c r="D24" s="81">
        <v>5.2</v>
      </c>
      <c r="E24" s="81">
        <v>10.9</v>
      </c>
      <c r="F24" s="81">
        <v>7.3</v>
      </c>
      <c r="G24" s="81">
        <v>6.5</v>
      </c>
      <c r="H24" s="81">
        <v>11.1</v>
      </c>
      <c r="I24" s="81">
        <v>10.5</v>
      </c>
      <c r="J24" s="81">
        <v>6.3</v>
      </c>
      <c r="K24" s="81">
        <v>6.4</v>
      </c>
      <c r="L24" s="81">
        <v>2.7</v>
      </c>
      <c r="M24" s="81">
        <v>1.7</v>
      </c>
      <c r="N24" s="81">
        <v>0.7</v>
      </c>
      <c r="O24" s="81">
        <v>0.3</v>
      </c>
      <c r="P24" s="81">
        <v>0.3</v>
      </c>
      <c r="Q24" s="81">
        <v>0.4</v>
      </c>
      <c r="R24" s="81">
        <v>1.6</v>
      </c>
      <c r="S24" s="81">
        <v>0.6</v>
      </c>
      <c r="T24" s="81">
        <v>1.7</v>
      </c>
      <c r="U24" s="81">
        <v>2.8</v>
      </c>
      <c r="V24" s="81">
        <v>1.2</v>
      </c>
      <c r="W24" s="81">
        <v>1.07927</v>
      </c>
      <c r="X24" s="96">
        <v>1.1194599999999999</v>
      </c>
      <c r="Y24" s="96">
        <v>3.7995857339095802</v>
      </c>
      <c r="Z24" s="96">
        <v>3.5066999999999999</v>
      </c>
    </row>
    <row r="25" spans="1:26">
      <c r="A25" t="s">
        <v>2</v>
      </c>
      <c r="D25" s="81"/>
      <c r="E25" s="81"/>
      <c r="F25" s="81"/>
      <c r="G25" s="81"/>
      <c r="H25" s="81"/>
      <c r="I25" s="81"/>
      <c r="J25" s="81"/>
      <c r="K25" s="81"/>
      <c r="L25" s="81"/>
      <c r="M25" s="81"/>
      <c r="N25" s="81"/>
      <c r="O25" s="81"/>
      <c r="P25" s="81"/>
      <c r="Q25" s="81"/>
      <c r="R25" s="81"/>
      <c r="S25" s="81"/>
      <c r="T25" s="81"/>
      <c r="U25" s="81"/>
      <c r="V25" s="81"/>
      <c r="W25" s="81"/>
      <c r="X25" s="98"/>
      <c r="Y25" s="98"/>
      <c r="Z25" s="98"/>
    </row>
    <row r="26" spans="1:26">
      <c r="A26" s="23" t="s">
        <v>43</v>
      </c>
      <c r="D26" s="81"/>
      <c r="E26" s="81"/>
      <c r="F26" s="81"/>
      <c r="G26" s="81"/>
      <c r="H26" s="81"/>
      <c r="I26" s="81"/>
      <c r="J26" s="81"/>
      <c r="K26" s="81"/>
      <c r="L26" s="81"/>
      <c r="M26" s="81"/>
      <c r="N26" s="81"/>
      <c r="O26" s="81"/>
      <c r="P26" s="81"/>
      <c r="Q26" s="81"/>
      <c r="R26" s="81"/>
      <c r="S26" s="81"/>
      <c r="T26" s="81"/>
      <c r="U26" s="81"/>
      <c r="V26" s="81"/>
      <c r="W26" s="81"/>
      <c r="X26" s="98"/>
      <c r="Y26" s="98"/>
      <c r="Z26" s="98"/>
    </row>
    <row r="27" spans="1:26">
      <c r="B27" s="24" t="s">
        <v>62</v>
      </c>
      <c r="C27" s="60" t="s">
        <v>4</v>
      </c>
      <c r="D27" s="81">
        <v>3.2</v>
      </c>
      <c r="E27" s="81">
        <v>4.5</v>
      </c>
      <c r="F27" s="81">
        <v>6.5</v>
      </c>
      <c r="G27" s="81">
        <v>7.4</v>
      </c>
      <c r="H27" s="81">
        <v>13.9</v>
      </c>
      <c r="I27" s="81">
        <v>13.6</v>
      </c>
      <c r="J27" s="81">
        <v>12</v>
      </c>
      <c r="K27" s="81">
        <v>13.1</v>
      </c>
      <c r="L27" s="81">
        <v>1.4</v>
      </c>
      <c r="M27" s="81">
        <v>0.3</v>
      </c>
      <c r="N27" s="81">
        <v>0.4</v>
      </c>
      <c r="O27" s="81">
        <v>0.3</v>
      </c>
      <c r="P27" s="81">
        <v>0.2</v>
      </c>
      <c r="Q27" s="81">
        <v>0.1</v>
      </c>
      <c r="R27" s="81">
        <v>1.4</v>
      </c>
      <c r="S27" s="81">
        <v>0</v>
      </c>
      <c r="T27" s="81">
        <v>0</v>
      </c>
      <c r="U27" s="81">
        <v>0</v>
      </c>
      <c r="V27" s="81">
        <v>0</v>
      </c>
      <c r="W27" s="81">
        <v>0</v>
      </c>
      <c r="X27" s="96">
        <v>0.373</v>
      </c>
      <c r="Y27" s="96">
        <v>2.8721640070282199</v>
      </c>
      <c r="Z27" s="96">
        <v>1.9370000000000001</v>
      </c>
    </row>
    <row r="28" spans="1:26">
      <c r="B28" s="24" t="s">
        <v>63</v>
      </c>
      <c r="C28" s="60" t="s">
        <v>4</v>
      </c>
      <c r="D28" s="81">
        <v>12.5</v>
      </c>
      <c r="E28" s="81">
        <v>8.5</v>
      </c>
      <c r="F28" s="81">
        <v>12.3</v>
      </c>
      <c r="G28" s="81">
        <v>10.9</v>
      </c>
      <c r="H28" s="81">
        <v>11.1</v>
      </c>
      <c r="I28" s="81">
        <v>16.2</v>
      </c>
      <c r="J28" s="81">
        <v>10.199999999999999</v>
      </c>
      <c r="K28" s="81">
        <v>2.9</v>
      </c>
      <c r="L28" s="81">
        <v>3.1</v>
      </c>
      <c r="M28" s="81">
        <v>3.1</v>
      </c>
      <c r="N28" s="81">
        <v>1</v>
      </c>
      <c r="O28" s="81">
        <v>0</v>
      </c>
      <c r="P28" s="81">
        <v>0.1</v>
      </c>
      <c r="Q28" s="81">
        <v>0</v>
      </c>
      <c r="R28" s="81">
        <v>0</v>
      </c>
      <c r="S28" s="81">
        <v>0.1</v>
      </c>
      <c r="T28" s="81">
        <v>0</v>
      </c>
      <c r="U28" s="81">
        <v>0.2</v>
      </c>
      <c r="V28" s="81">
        <v>0.4</v>
      </c>
      <c r="W28" s="81">
        <v>0.35681000000000002</v>
      </c>
      <c r="X28" s="96">
        <v>0.36799999999999999</v>
      </c>
      <c r="Y28" s="96">
        <v>0.75026172688136095</v>
      </c>
      <c r="Z28" s="96">
        <v>0</v>
      </c>
    </row>
    <row r="29" spans="1:26">
      <c r="B29" s="24" t="s">
        <v>64</v>
      </c>
      <c r="C29" s="60" t="s">
        <v>4</v>
      </c>
      <c r="D29" s="81">
        <v>8.5</v>
      </c>
      <c r="E29" s="81">
        <v>5.5</v>
      </c>
      <c r="F29" s="81">
        <v>5.5</v>
      </c>
      <c r="G29" s="81">
        <v>9.6999999999999993</v>
      </c>
      <c r="H29" s="81">
        <v>7</v>
      </c>
      <c r="I29" s="81">
        <v>7.7</v>
      </c>
      <c r="J29" s="81">
        <v>10.3</v>
      </c>
      <c r="K29" s="81">
        <v>6.8</v>
      </c>
      <c r="L29" s="81">
        <v>3.6</v>
      </c>
      <c r="M29" s="81">
        <v>1.9</v>
      </c>
      <c r="N29" s="81">
        <v>0.8</v>
      </c>
      <c r="O29" s="81">
        <v>0.1</v>
      </c>
      <c r="P29" s="81">
        <v>0.1</v>
      </c>
      <c r="Q29" s="81">
        <v>0.2</v>
      </c>
      <c r="R29" s="81">
        <v>0</v>
      </c>
      <c r="S29" s="81">
        <v>0</v>
      </c>
      <c r="T29" s="81">
        <v>0.1</v>
      </c>
      <c r="U29" s="81">
        <v>0</v>
      </c>
      <c r="V29" s="81">
        <v>0</v>
      </c>
      <c r="W29" s="81">
        <v>0</v>
      </c>
      <c r="X29" s="96">
        <v>5.9500000000000004E-3</v>
      </c>
      <c r="Y29" s="96">
        <v>0</v>
      </c>
      <c r="Z29" s="96">
        <v>0</v>
      </c>
    </row>
    <row r="30" spans="1:26">
      <c r="B30" s="24" t="s">
        <v>65</v>
      </c>
      <c r="C30" s="60" t="s">
        <v>4</v>
      </c>
      <c r="D30" s="81">
        <v>5.5</v>
      </c>
      <c r="E30" s="81">
        <v>1.2</v>
      </c>
      <c r="F30" s="81">
        <v>4</v>
      </c>
      <c r="G30" s="81">
        <v>6</v>
      </c>
      <c r="H30" s="81">
        <v>5.5</v>
      </c>
      <c r="I30" s="81">
        <v>7.3</v>
      </c>
      <c r="J30" s="81">
        <v>3.5</v>
      </c>
      <c r="K30" s="81">
        <v>0.8</v>
      </c>
      <c r="L30" s="81">
        <v>0.1</v>
      </c>
      <c r="M30" s="81">
        <v>0.1</v>
      </c>
      <c r="N30" s="81">
        <v>0</v>
      </c>
      <c r="O30" s="81">
        <v>0</v>
      </c>
      <c r="P30" s="81">
        <v>0</v>
      </c>
      <c r="Q30" s="81">
        <v>0</v>
      </c>
      <c r="R30" s="81">
        <v>0</v>
      </c>
      <c r="S30" s="81">
        <v>0</v>
      </c>
      <c r="T30" s="81">
        <v>0.1</v>
      </c>
      <c r="U30" s="81">
        <v>0.9</v>
      </c>
      <c r="V30" s="81">
        <v>0</v>
      </c>
      <c r="W30" s="81">
        <v>1.91E-3</v>
      </c>
      <c r="X30" s="96">
        <v>0</v>
      </c>
      <c r="Y30" s="96">
        <v>0</v>
      </c>
      <c r="Z30" s="96">
        <v>0</v>
      </c>
    </row>
    <row r="31" spans="1:26">
      <c r="B31" s="24" t="s">
        <v>66</v>
      </c>
      <c r="C31" s="60" t="s">
        <v>4</v>
      </c>
      <c r="D31" s="81">
        <v>14.2</v>
      </c>
      <c r="E31" s="81">
        <v>10.6</v>
      </c>
      <c r="F31" s="81">
        <v>9</v>
      </c>
      <c r="G31" s="81">
        <v>22.4</v>
      </c>
      <c r="H31" s="81">
        <v>11.1</v>
      </c>
      <c r="I31" s="81">
        <v>15</v>
      </c>
      <c r="J31" s="81">
        <v>12.8</v>
      </c>
      <c r="K31" s="81">
        <v>8.6</v>
      </c>
      <c r="L31" s="81">
        <v>8.3000000000000007</v>
      </c>
      <c r="M31" s="81">
        <v>0.4</v>
      </c>
      <c r="N31" s="81">
        <v>0.4</v>
      </c>
      <c r="O31" s="81">
        <v>0.1</v>
      </c>
      <c r="P31" s="81">
        <v>0</v>
      </c>
      <c r="Q31" s="81">
        <v>0.3</v>
      </c>
      <c r="R31" s="81">
        <v>0.2</v>
      </c>
      <c r="S31" s="81">
        <v>0.6</v>
      </c>
      <c r="T31" s="81">
        <v>2.9</v>
      </c>
      <c r="U31" s="81">
        <v>1.7</v>
      </c>
      <c r="V31" s="81">
        <v>1.1000000000000001</v>
      </c>
      <c r="W31" s="81">
        <v>1.0934200000000001</v>
      </c>
      <c r="X31" s="96">
        <v>0.57250999999999996</v>
      </c>
      <c r="Y31" s="96">
        <v>0.59702999999999995</v>
      </c>
      <c r="Z31" s="96">
        <v>1.7917000000000001</v>
      </c>
    </row>
    <row r="32" spans="1:26">
      <c r="B32" s="24" t="s">
        <v>67</v>
      </c>
      <c r="C32" s="60" t="s">
        <v>4</v>
      </c>
      <c r="D32" s="81">
        <v>10.199999999999999</v>
      </c>
      <c r="E32" s="81">
        <v>10.9</v>
      </c>
      <c r="F32" s="81">
        <v>11.9</v>
      </c>
      <c r="G32" s="81">
        <v>10</v>
      </c>
      <c r="H32" s="81">
        <v>20.5</v>
      </c>
      <c r="I32" s="81">
        <v>26.5</v>
      </c>
      <c r="J32" s="81">
        <v>20</v>
      </c>
      <c r="K32" s="81">
        <v>15.1</v>
      </c>
      <c r="L32" s="81">
        <v>4</v>
      </c>
      <c r="M32" s="81">
        <v>1.5</v>
      </c>
      <c r="N32" s="81">
        <v>0.1</v>
      </c>
      <c r="O32" s="81">
        <v>0</v>
      </c>
      <c r="P32" s="81">
        <v>0</v>
      </c>
      <c r="Q32" s="81">
        <v>0</v>
      </c>
      <c r="R32" s="81">
        <v>0</v>
      </c>
      <c r="S32" s="81">
        <v>0</v>
      </c>
      <c r="T32" s="81">
        <v>0</v>
      </c>
      <c r="U32" s="81">
        <v>0</v>
      </c>
      <c r="V32" s="81">
        <v>0</v>
      </c>
      <c r="W32" s="81">
        <v>6.0999999999999999E-2</v>
      </c>
      <c r="X32" s="96">
        <v>2.9000000000000001E-2</v>
      </c>
      <c r="Y32" s="96">
        <v>0.26900000000000002</v>
      </c>
      <c r="Z32" s="96">
        <v>0</v>
      </c>
    </row>
    <row r="33" spans="1:26">
      <c r="B33" s="24" t="s">
        <v>68</v>
      </c>
      <c r="C33" s="60" t="s">
        <v>4</v>
      </c>
      <c r="D33" s="81">
        <v>0.2</v>
      </c>
      <c r="E33" s="81">
        <v>1.3</v>
      </c>
      <c r="F33" s="81">
        <v>4.5</v>
      </c>
      <c r="G33" s="81">
        <v>5.7</v>
      </c>
      <c r="H33" s="81">
        <v>9.4</v>
      </c>
      <c r="I33" s="81">
        <v>0.2</v>
      </c>
      <c r="J33" s="81">
        <v>3.6</v>
      </c>
      <c r="K33" s="81">
        <v>2.2999999999999998</v>
      </c>
      <c r="L33" s="81">
        <v>3</v>
      </c>
      <c r="M33" s="81">
        <v>2.2000000000000002</v>
      </c>
      <c r="N33" s="81">
        <v>1.6</v>
      </c>
      <c r="O33" s="81">
        <v>1.7</v>
      </c>
      <c r="P33" s="81">
        <v>1.2</v>
      </c>
      <c r="Q33" s="81">
        <v>0.4</v>
      </c>
      <c r="R33" s="81">
        <v>0</v>
      </c>
      <c r="S33" s="81">
        <v>0</v>
      </c>
      <c r="T33" s="81">
        <v>0</v>
      </c>
      <c r="U33" s="81">
        <v>0</v>
      </c>
      <c r="V33" s="81">
        <v>0</v>
      </c>
      <c r="W33" s="81">
        <v>0</v>
      </c>
      <c r="X33" s="96">
        <v>0.82299999999999995</v>
      </c>
      <c r="Y33" s="96">
        <v>0</v>
      </c>
      <c r="Z33" s="96">
        <v>0</v>
      </c>
    </row>
    <row r="34" spans="1:26">
      <c r="B34" s="24" t="s">
        <v>69</v>
      </c>
      <c r="C34" s="60" t="s">
        <v>4</v>
      </c>
      <c r="D34" s="81">
        <v>0</v>
      </c>
      <c r="E34" s="81">
        <v>0</v>
      </c>
      <c r="F34" s="81">
        <v>0</v>
      </c>
      <c r="G34" s="81">
        <v>0</v>
      </c>
      <c r="H34" s="81">
        <v>0</v>
      </c>
      <c r="I34" s="81">
        <v>0</v>
      </c>
      <c r="J34" s="81">
        <v>0</v>
      </c>
      <c r="K34" s="81">
        <v>0</v>
      </c>
      <c r="L34" s="81">
        <v>0</v>
      </c>
      <c r="M34" s="81">
        <v>0</v>
      </c>
      <c r="N34" s="81">
        <v>0</v>
      </c>
      <c r="O34" s="81">
        <v>0</v>
      </c>
      <c r="P34" s="81">
        <v>0</v>
      </c>
      <c r="Q34" s="81">
        <v>0</v>
      </c>
      <c r="R34" s="81">
        <v>0</v>
      </c>
      <c r="S34" s="81">
        <v>0</v>
      </c>
      <c r="T34" s="81">
        <v>0</v>
      </c>
      <c r="U34" s="81">
        <v>0</v>
      </c>
      <c r="V34" s="81">
        <v>0</v>
      </c>
      <c r="W34" s="81">
        <v>0</v>
      </c>
      <c r="X34" s="96">
        <v>0.129</v>
      </c>
      <c r="Y34" s="96">
        <v>0</v>
      </c>
      <c r="Z34" s="96">
        <v>0</v>
      </c>
    </row>
    <row r="35" spans="1:26">
      <c r="A35" s="25"/>
      <c r="B35" s="26" t="s">
        <v>70</v>
      </c>
      <c r="C35" s="62" t="s">
        <v>4</v>
      </c>
      <c r="D35" s="81">
        <v>54.4</v>
      </c>
      <c r="E35" s="81">
        <v>42.3</v>
      </c>
      <c r="F35" s="81">
        <v>53.6</v>
      </c>
      <c r="G35" s="81">
        <v>72</v>
      </c>
      <c r="H35" s="81">
        <v>78.400000000000006</v>
      </c>
      <c r="I35" s="81">
        <v>86.6</v>
      </c>
      <c r="J35" s="81">
        <v>72.3</v>
      </c>
      <c r="K35" s="81">
        <v>49.7</v>
      </c>
      <c r="L35" s="81">
        <v>23.5</v>
      </c>
      <c r="M35" s="81">
        <v>9.6</v>
      </c>
      <c r="N35" s="81">
        <v>4.2</v>
      </c>
      <c r="O35" s="81">
        <v>2.2999999999999998</v>
      </c>
      <c r="P35" s="81">
        <v>1.6</v>
      </c>
      <c r="Q35" s="81">
        <v>0.9</v>
      </c>
      <c r="R35" s="81">
        <v>1.6</v>
      </c>
      <c r="S35" s="81">
        <v>0.7</v>
      </c>
      <c r="T35" s="81">
        <v>3.1</v>
      </c>
      <c r="U35" s="81">
        <v>2.8</v>
      </c>
      <c r="V35" s="81">
        <v>1.5</v>
      </c>
      <c r="W35" s="81">
        <v>1.5131399999999999</v>
      </c>
      <c r="X35" s="96">
        <v>2.3004600000000002</v>
      </c>
      <c r="Y35" s="116">
        <v>4.4884557339095803</v>
      </c>
      <c r="Z35" s="116">
        <v>3.7286999999999999</v>
      </c>
    </row>
    <row r="36" spans="1:26" ht="24.75" customHeight="1">
      <c r="D36" s="167" t="s">
        <v>217</v>
      </c>
      <c r="E36" s="167"/>
      <c r="F36" s="167"/>
      <c r="G36" s="167"/>
      <c r="H36" s="167"/>
      <c r="I36" s="167"/>
      <c r="J36" s="167"/>
      <c r="K36" s="167"/>
      <c r="L36" s="167"/>
      <c r="M36" s="167"/>
      <c r="N36" s="167"/>
      <c r="O36" s="167"/>
      <c r="P36" s="167"/>
      <c r="Q36" s="167"/>
      <c r="R36" s="167"/>
      <c r="S36" s="167"/>
      <c r="T36" s="167"/>
      <c r="U36" s="167"/>
      <c r="V36" s="167"/>
      <c r="W36" s="167"/>
      <c r="X36" s="167"/>
      <c r="Y36" s="167"/>
      <c r="Z36" s="167"/>
    </row>
    <row r="37" spans="1:26">
      <c r="A37" t="s">
        <v>2</v>
      </c>
    </row>
    <row r="38" spans="1:26">
      <c r="A38" t="s">
        <v>2</v>
      </c>
    </row>
    <row r="39" spans="1:26">
      <c r="A39" t="s">
        <v>2</v>
      </c>
    </row>
    <row r="40" spans="1:26">
      <c r="A40" t="s">
        <v>2</v>
      </c>
    </row>
    <row r="41" spans="1:26">
      <c r="A41" t="s">
        <v>2</v>
      </c>
    </row>
    <row r="42" spans="1:26">
      <c r="A42" t="s">
        <v>2</v>
      </c>
    </row>
    <row r="43" spans="1:26">
      <c r="A43" t="s">
        <v>2</v>
      </c>
    </row>
    <row r="44" spans="1:26">
      <c r="A44" t="s">
        <v>2</v>
      </c>
    </row>
    <row r="45" spans="1:26">
      <c r="A45" t="s">
        <v>2</v>
      </c>
    </row>
  </sheetData>
  <mergeCells count="2">
    <mergeCell ref="A2:X2"/>
    <mergeCell ref="D36:Z36"/>
  </mergeCells>
  <phoneticPr fontId="14" type="noConversion"/>
  <conditionalFormatting sqref="D5:Z35">
    <cfRule type="cellIs" dxfId="57" priority="1"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DECA1-60AC-46C9-B471-DDC694CCDF39}">
  <dimension ref="A1:AA72"/>
  <sheetViews>
    <sheetView topLeftCell="A54" zoomScaleNormal="100" workbookViewId="0">
      <pane xSplit="5" topLeftCell="Q1" activePane="topRight" state="frozen"/>
      <selection activeCell="A13" sqref="A13:N13"/>
      <selection pane="topRight" activeCell="A13" sqref="A13:N13"/>
    </sheetView>
  </sheetViews>
  <sheetFormatPr defaultColWidth="9.26953125" defaultRowHeight="14.5"/>
  <cols>
    <col min="1" max="3" width="3" customWidth="1"/>
    <col min="4" max="4" width="30.54296875" bestFit="1" customWidth="1"/>
    <col min="5" max="5" width="7.26953125" bestFit="1" customWidth="1"/>
    <col min="6" max="27" width="7" bestFit="1" customWidth="1"/>
  </cols>
  <sheetData>
    <row r="1" spans="1:27" ht="71.25" customHeight="1">
      <c r="A1" t="s">
        <v>2</v>
      </c>
    </row>
    <row r="2" spans="1:27" ht="21">
      <c r="A2" s="162" t="s">
        <v>278</v>
      </c>
      <c r="B2" s="162"/>
      <c r="C2" s="162"/>
      <c r="D2" s="162"/>
      <c r="E2" s="162"/>
      <c r="F2" s="162"/>
      <c r="G2" s="162"/>
      <c r="H2" s="162"/>
      <c r="I2" s="162"/>
      <c r="J2" s="162"/>
      <c r="K2" s="162"/>
      <c r="L2" s="162"/>
      <c r="M2" s="162"/>
      <c r="N2" s="162"/>
      <c r="O2" s="162"/>
      <c r="P2" s="162"/>
      <c r="Q2" s="162"/>
      <c r="R2" s="162"/>
      <c r="S2" s="162"/>
      <c r="T2" s="162"/>
      <c r="U2" s="162"/>
      <c r="V2" s="162"/>
      <c r="W2" s="162"/>
      <c r="X2" s="162"/>
      <c r="Y2" s="162"/>
    </row>
    <row r="3" spans="1:27" s="21" customFormat="1" ht="12">
      <c r="A3" s="64" t="s">
        <v>38</v>
      </c>
      <c r="B3" s="64" t="s">
        <v>38</v>
      </c>
      <c r="C3" s="64" t="s">
        <v>38</v>
      </c>
      <c r="D3" s="64" t="s">
        <v>38</v>
      </c>
      <c r="E3" s="66" t="s">
        <v>37</v>
      </c>
      <c r="F3" s="64" t="s">
        <v>297</v>
      </c>
      <c r="G3" s="64" t="s">
        <v>298</v>
      </c>
      <c r="H3" s="64" t="s">
        <v>299</v>
      </c>
      <c r="I3" s="64" t="s">
        <v>300</v>
      </c>
      <c r="J3" s="64" t="s">
        <v>281</v>
      </c>
      <c r="K3" s="64" t="s">
        <v>282</v>
      </c>
      <c r="L3" s="64" t="s">
        <v>283</v>
      </c>
      <c r="M3" s="64" t="s">
        <v>284</v>
      </c>
      <c r="N3" s="64" t="s">
        <v>285</v>
      </c>
      <c r="O3" s="64" t="s">
        <v>286</v>
      </c>
      <c r="P3" s="64" t="s">
        <v>287</v>
      </c>
      <c r="Q3" s="64" t="s">
        <v>288</v>
      </c>
      <c r="R3" s="64" t="s">
        <v>289</v>
      </c>
      <c r="S3" s="64" t="s">
        <v>290</v>
      </c>
      <c r="T3" s="64" t="s">
        <v>291</v>
      </c>
      <c r="U3" s="64" t="s">
        <v>292</v>
      </c>
      <c r="V3" s="64" t="s">
        <v>293</v>
      </c>
      <c r="W3" s="64" t="s">
        <v>294</v>
      </c>
      <c r="X3" s="64" t="s">
        <v>295</v>
      </c>
      <c r="Y3" s="64" t="s">
        <v>305</v>
      </c>
      <c r="Z3" s="64" t="s">
        <v>326</v>
      </c>
      <c r="AA3" s="64" t="s">
        <v>331</v>
      </c>
    </row>
    <row r="4" spans="1:27">
      <c r="A4" s="131" t="s">
        <v>61</v>
      </c>
      <c r="B4" s="12"/>
      <c r="C4" s="12"/>
      <c r="E4" s="61"/>
    </row>
    <row r="5" spans="1:27">
      <c r="B5" s="131" t="s">
        <v>370</v>
      </c>
      <c r="C5" s="12"/>
      <c r="D5" s="12"/>
      <c r="E5" s="61"/>
    </row>
    <row r="6" spans="1:27">
      <c r="C6" s="12" t="s">
        <v>365</v>
      </c>
      <c r="D6" s="12"/>
      <c r="E6" s="114" t="s">
        <v>269</v>
      </c>
      <c r="F6" s="82">
        <v>3542.5272480735298</v>
      </c>
      <c r="G6" s="82">
        <v>3444.23031880089</v>
      </c>
      <c r="H6" s="82">
        <v>3320.4973750735398</v>
      </c>
      <c r="I6" s="82">
        <v>3204.2981266105098</v>
      </c>
      <c r="J6" s="82">
        <v>2938.70918084614</v>
      </c>
      <c r="K6" s="82">
        <v>2966.1958259037801</v>
      </c>
      <c r="L6" s="82">
        <v>2640.05386971503</v>
      </c>
      <c r="M6" s="82">
        <v>2494.5117422552498</v>
      </c>
      <c r="N6" s="82">
        <v>2250.5660332915199</v>
      </c>
      <c r="O6" s="82">
        <v>2217.6308648915201</v>
      </c>
      <c r="P6" s="82">
        <v>1875.9399487000001</v>
      </c>
      <c r="Q6" s="82">
        <v>1779.59209533496</v>
      </c>
      <c r="R6" s="82">
        <v>1786.40851275468</v>
      </c>
      <c r="S6" s="82">
        <v>1968.4103745329001</v>
      </c>
      <c r="T6" s="82">
        <v>2011.9841280000001</v>
      </c>
      <c r="U6" s="82">
        <v>1872.9129385825299</v>
      </c>
      <c r="V6" s="82">
        <v>1840.3907130989001</v>
      </c>
      <c r="W6" s="82">
        <v>1473.77179486558</v>
      </c>
      <c r="X6" s="82">
        <v>1450.5838257288301</v>
      </c>
      <c r="Y6" s="82">
        <v>1431.9737490683599</v>
      </c>
      <c r="Z6" s="82">
        <v>1085.8299404325301</v>
      </c>
      <c r="AA6" s="82">
        <v>1184.0552576510299</v>
      </c>
    </row>
    <row r="7" spans="1:27">
      <c r="C7" s="12" t="s">
        <v>73</v>
      </c>
      <c r="D7" s="12"/>
      <c r="E7" s="61"/>
      <c r="F7" s="82"/>
      <c r="G7" s="82"/>
      <c r="H7" s="82"/>
      <c r="I7" s="82"/>
      <c r="J7" s="82"/>
      <c r="K7" s="82"/>
      <c r="L7" s="82"/>
      <c r="M7" s="82"/>
      <c r="N7" s="82"/>
      <c r="O7" s="82"/>
      <c r="P7" s="82"/>
      <c r="Q7" s="82"/>
      <c r="R7" s="82"/>
      <c r="S7" s="82"/>
      <c r="T7" s="82"/>
      <c r="U7" s="82"/>
      <c r="V7" s="82"/>
      <c r="W7" s="82"/>
      <c r="X7" s="82"/>
      <c r="Y7" s="82"/>
      <c r="Z7" s="82"/>
      <c r="AA7" s="82"/>
    </row>
    <row r="8" spans="1:27">
      <c r="C8" s="14"/>
      <c r="D8" s="12" t="s">
        <v>366</v>
      </c>
      <c r="E8" s="114" t="s">
        <v>269</v>
      </c>
      <c r="F8" s="82">
        <v>19.2</v>
      </c>
      <c r="G8" s="82">
        <v>18.7</v>
      </c>
      <c r="H8" s="82">
        <v>21.571000000000002</v>
      </c>
      <c r="I8" s="82">
        <v>21.5</v>
      </c>
      <c r="J8" s="82">
        <v>21.05</v>
      </c>
      <c r="K8" s="82">
        <v>28.2</v>
      </c>
      <c r="L8" s="82">
        <v>20.2</v>
      </c>
      <c r="M8" s="82">
        <v>31.32978</v>
      </c>
      <c r="N8" s="82">
        <v>21.96</v>
      </c>
      <c r="O8" s="82">
        <v>22.026</v>
      </c>
      <c r="P8" s="82">
        <v>26.191502</v>
      </c>
      <c r="Q8" s="82">
        <v>26.932942000000001</v>
      </c>
      <c r="R8" s="82">
        <v>25.506468000000002</v>
      </c>
      <c r="S8" s="82">
        <v>34.733296000000003</v>
      </c>
      <c r="T8" s="82">
        <v>30.316085000000001</v>
      </c>
      <c r="U8" s="82">
        <v>27.574273999999999</v>
      </c>
      <c r="V8" s="82">
        <v>31.090498</v>
      </c>
      <c r="W8" s="82">
        <v>19.84395</v>
      </c>
      <c r="X8" s="82">
        <v>12.383768</v>
      </c>
      <c r="Y8" s="82">
        <v>17.479554</v>
      </c>
      <c r="Z8" s="82">
        <v>10.696116999999999</v>
      </c>
      <c r="AA8" s="82">
        <v>14.2079409999999</v>
      </c>
    </row>
    <row r="9" spans="1:27">
      <c r="C9" s="14"/>
      <c r="D9" s="12" t="s">
        <v>74</v>
      </c>
      <c r="E9" s="114" t="s">
        <v>269</v>
      </c>
      <c r="F9" s="82">
        <v>689.33199999999999</v>
      </c>
      <c r="G9" s="82">
        <v>801.84957777777799</v>
      </c>
      <c r="H9" s="82">
        <v>769.35699999999997</v>
      </c>
      <c r="I9" s="82">
        <v>570.12</v>
      </c>
      <c r="J9" s="82">
        <v>612.01107999999999</v>
      </c>
      <c r="K9" s="82">
        <v>599.53300000000002</v>
      </c>
      <c r="L9" s="82">
        <v>683.83376999999996</v>
      </c>
      <c r="M9" s="82">
        <v>619.34</v>
      </c>
      <c r="N9" s="82">
        <v>597.46299999999997</v>
      </c>
      <c r="O9" s="82">
        <v>576.61800000000005</v>
      </c>
      <c r="P9" s="82">
        <v>536.47265400000003</v>
      </c>
      <c r="Q9" s="82">
        <v>517.78399999999999</v>
      </c>
      <c r="R9" s="82">
        <v>556.553</v>
      </c>
      <c r="S9" s="82">
        <v>535.29999999999995</v>
      </c>
      <c r="T9" s="82">
        <v>538.64599999999996</v>
      </c>
      <c r="U9" s="82">
        <v>442.61099999999999</v>
      </c>
      <c r="V9" s="82">
        <v>434.91</v>
      </c>
      <c r="W9" s="82">
        <v>443.399</v>
      </c>
      <c r="X9" s="82">
        <v>346.52499999999998</v>
      </c>
      <c r="Y9" s="82">
        <v>383.83800000000002</v>
      </c>
      <c r="Z9" s="82">
        <v>85.856999999999999</v>
      </c>
      <c r="AA9" s="82">
        <v>14.174074074073999</v>
      </c>
    </row>
    <row r="10" spans="1:27">
      <c r="C10" s="14"/>
      <c r="D10" s="12" t="s">
        <v>75</v>
      </c>
      <c r="E10" s="114" t="s">
        <v>269</v>
      </c>
      <c r="F10" s="82">
        <v>5896.1780799999997</v>
      </c>
      <c r="G10" s="82">
        <v>5641.1413296296296</v>
      </c>
      <c r="H10" s="82">
        <v>5563.0021500000003</v>
      </c>
      <c r="I10" s="82">
        <v>4588.3029999999999</v>
      </c>
      <c r="J10" s="82">
        <v>4726.7629399999996</v>
      </c>
      <c r="K10" s="82">
        <v>5145.63501</v>
      </c>
      <c r="L10" s="82">
        <v>4239.5254199999999</v>
      </c>
      <c r="M10" s="82">
        <v>3293.5336779999998</v>
      </c>
      <c r="N10" s="82">
        <v>3277.8103820000001</v>
      </c>
      <c r="O10" s="82">
        <v>1438.6136707999999</v>
      </c>
      <c r="P10" s="82">
        <v>1098.6451202999999</v>
      </c>
      <c r="Q10" s="82">
        <v>1417.2942129999999</v>
      </c>
      <c r="R10" s="82">
        <v>1324.2645680000001</v>
      </c>
      <c r="S10" s="82">
        <v>1265.1630950000001</v>
      </c>
      <c r="T10" s="82">
        <v>1396.410779</v>
      </c>
      <c r="U10" s="82">
        <v>1567.3842729999999</v>
      </c>
      <c r="V10" s="82">
        <v>1397.999153</v>
      </c>
      <c r="W10" s="82">
        <v>1432.887289</v>
      </c>
      <c r="X10" s="82">
        <v>1347.0227703703699</v>
      </c>
      <c r="Y10" s="82">
        <v>1359.26789435205</v>
      </c>
      <c r="Z10" s="82">
        <v>1003.006446</v>
      </c>
      <c r="AA10" s="82">
        <v>994.524771777777</v>
      </c>
    </row>
    <row r="11" spans="1:27">
      <c r="C11" s="12" t="s">
        <v>76</v>
      </c>
      <c r="D11" s="12"/>
      <c r="E11" s="114" t="s">
        <v>269</v>
      </c>
      <c r="F11" s="82">
        <v>166.80859783766999</v>
      </c>
      <c r="G11" s="82">
        <v>184.372572843999</v>
      </c>
      <c r="H11" s="82">
        <v>191.984572700249</v>
      </c>
      <c r="I11" s="82">
        <v>191.20338045024999</v>
      </c>
      <c r="J11" s="82">
        <v>252.10919642111</v>
      </c>
      <c r="K11" s="82">
        <v>200.60450783132001</v>
      </c>
      <c r="L11" s="82">
        <v>155.0676</v>
      </c>
      <c r="M11" s="82">
        <v>150.306917</v>
      </c>
      <c r="N11" s="82">
        <v>178.50740400000001</v>
      </c>
      <c r="O11" s="82">
        <v>227.49812499999999</v>
      </c>
      <c r="P11" s="82">
        <v>210.63428300000001</v>
      </c>
      <c r="Q11" s="82">
        <v>188.42128161539</v>
      </c>
      <c r="R11" s="82">
        <v>206.97803069231</v>
      </c>
      <c r="S11" s="82">
        <v>154.481839385</v>
      </c>
      <c r="T11" s="82">
        <v>177.6853907</v>
      </c>
      <c r="U11" s="82">
        <v>182.57601299999999</v>
      </c>
      <c r="V11" s="82">
        <v>163.79052100000001</v>
      </c>
      <c r="W11" s="82">
        <v>176.157768</v>
      </c>
      <c r="X11" s="82">
        <v>171.10632709021999</v>
      </c>
      <c r="Y11" s="82">
        <v>164.10343014716</v>
      </c>
      <c r="Z11" s="82">
        <v>223.59540200000001</v>
      </c>
      <c r="AA11" s="82">
        <v>173.47016877778</v>
      </c>
    </row>
    <row r="12" spans="1:27">
      <c r="C12" s="12" t="s">
        <v>43</v>
      </c>
      <c r="D12" s="12"/>
      <c r="E12" s="114" t="s">
        <v>269</v>
      </c>
      <c r="F12" s="82">
        <v>10314.045925911199</v>
      </c>
      <c r="G12" s="82">
        <v>10090.293799052301</v>
      </c>
      <c r="H12" s="82">
        <v>9866.4120977737894</v>
      </c>
      <c r="I12" s="82">
        <v>8575.4245070607594</v>
      </c>
      <c r="J12" s="82">
        <v>8550.6423972672492</v>
      </c>
      <c r="K12" s="82">
        <v>8940.1683437351003</v>
      </c>
      <c r="L12" s="82">
        <v>7738.6806597150298</v>
      </c>
      <c r="M12" s="82">
        <v>6589.0221172552501</v>
      </c>
      <c r="N12" s="82">
        <v>6326.3068192915198</v>
      </c>
      <c r="O12" s="82">
        <v>4482.3866606915199</v>
      </c>
      <c r="P12" s="82">
        <v>3747.8835079999999</v>
      </c>
      <c r="Q12" s="82">
        <v>3930.0245319503501</v>
      </c>
      <c r="R12" s="82">
        <v>3899.7105794469899</v>
      </c>
      <c r="S12" s="82">
        <v>3958.0886049178998</v>
      </c>
      <c r="T12" s="82">
        <v>4155.0423827000004</v>
      </c>
      <c r="U12" s="82">
        <v>4093.0584985825299</v>
      </c>
      <c r="V12" s="82">
        <v>3868.1808850989</v>
      </c>
      <c r="W12" s="82">
        <v>3546.0598018655801</v>
      </c>
      <c r="X12" s="82">
        <v>3327.6216911894198</v>
      </c>
      <c r="Y12" s="82">
        <v>3356.6626275675699</v>
      </c>
      <c r="Z12" s="82">
        <v>2408.98490543253</v>
      </c>
      <c r="AA12" s="82">
        <v>2380.4322132806601</v>
      </c>
    </row>
    <row r="13" spans="1:27">
      <c r="B13" s="12"/>
      <c r="C13" s="12"/>
      <c r="D13" s="12"/>
      <c r="E13" s="61"/>
      <c r="F13" s="82"/>
      <c r="G13" s="82"/>
      <c r="H13" s="82"/>
      <c r="I13" s="82"/>
      <c r="J13" s="82"/>
      <c r="K13" s="82"/>
      <c r="L13" s="82"/>
      <c r="M13" s="82"/>
      <c r="N13" s="82"/>
      <c r="O13" s="82"/>
      <c r="P13" s="82"/>
      <c r="Q13" s="82"/>
      <c r="R13" s="82"/>
      <c r="S13" s="82"/>
      <c r="T13" s="82"/>
      <c r="U13" s="82"/>
      <c r="V13" s="82"/>
      <c r="W13" s="82"/>
      <c r="X13" s="82"/>
      <c r="Y13" s="82"/>
      <c r="Z13" s="82"/>
      <c r="AA13" s="82"/>
    </row>
    <row r="14" spans="1:27">
      <c r="B14" s="131" t="s">
        <v>367</v>
      </c>
      <c r="C14" s="12"/>
      <c r="D14" s="12"/>
      <c r="E14" s="61"/>
      <c r="F14" s="82"/>
      <c r="G14" s="82"/>
      <c r="H14" s="82"/>
      <c r="I14" s="82"/>
      <c r="J14" s="82"/>
      <c r="K14" s="82"/>
      <c r="L14" s="82"/>
      <c r="M14" s="82"/>
      <c r="N14" s="82"/>
      <c r="O14" s="82"/>
      <c r="P14" s="82"/>
      <c r="Q14" s="82"/>
      <c r="R14" s="82"/>
      <c r="S14" s="82"/>
      <c r="T14" s="82"/>
      <c r="U14" s="82"/>
      <c r="V14" s="82"/>
      <c r="W14" s="82"/>
      <c r="X14" s="82"/>
      <c r="Y14" s="82"/>
      <c r="Z14" s="82"/>
      <c r="AA14" s="82"/>
    </row>
    <row r="15" spans="1:27">
      <c r="C15" s="12" t="s">
        <v>368</v>
      </c>
      <c r="D15" s="12"/>
      <c r="E15" s="114" t="s">
        <v>269</v>
      </c>
      <c r="F15" s="82">
        <v>153.1422</v>
      </c>
      <c r="G15" s="82">
        <v>176.90551851851899</v>
      </c>
      <c r="H15" s="82">
        <v>272.91800000000001</v>
      </c>
      <c r="I15" s="82">
        <v>207.83</v>
      </c>
      <c r="J15" s="82">
        <v>158.760999629021</v>
      </c>
      <c r="K15" s="82">
        <v>186.05199999999999</v>
      </c>
      <c r="L15" s="82">
        <v>167.679</v>
      </c>
      <c r="M15" s="82">
        <v>135.794476</v>
      </c>
      <c r="N15" s="82">
        <v>114.060614</v>
      </c>
      <c r="O15" s="82">
        <v>67.880257</v>
      </c>
      <c r="P15" s="82">
        <v>113.36075599999999</v>
      </c>
      <c r="Q15" s="82">
        <v>190.360209</v>
      </c>
      <c r="R15" s="82">
        <v>269.49976900000001</v>
      </c>
      <c r="S15" s="82">
        <v>186.70158494117601</v>
      </c>
      <c r="T15" s="82">
        <v>477.98745100000002</v>
      </c>
      <c r="U15" s="82">
        <v>809.73333500000001</v>
      </c>
      <c r="V15" s="82">
        <v>671.33741599999996</v>
      </c>
      <c r="W15" s="82">
        <v>440.94724198689499</v>
      </c>
      <c r="X15" s="82">
        <v>603.18671662962902</v>
      </c>
      <c r="Y15" s="82">
        <v>561.15611200000001</v>
      </c>
      <c r="Z15" s="82">
        <v>689.15203499999996</v>
      </c>
      <c r="AA15" s="82">
        <v>322.717127</v>
      </c>
    </row>
    <row r="16" spans="1:27">
      <c r="C16" s="12" t="s">
        <v>73</v>
      </c>
      <c r="D16" s="12"/>
      <c r="E16" s="61"/>
      <c r="F16" s="82"/>
      <c r="G16" s="82"/>
      <c r="H16" s="82"/>
      <c r="I16" s="82"/>
      <c r="J16" s="82"/>
      <c r="K16" s="82"/>
      <c r="L16" s="82"/>
      <c r="M16" s="82"/>
      <c r="N16" s="82"/>
      <c r="O16" s="82"/>
      <c r="P16" s="82"/>
      <c r="Q16" s="82"/>
      <c r="R16" s="82"/>
      <c r="S16" s="82"/>
      <c r="T16" s="82"/>
      <c r="U16" s="82"/>
      <c r="V16" s="82"/>
      <c r="W16" s="82"/>
      <c r="X16" s="82"/>
      <c r="Y16" s="82"/>
      <c r="Z16" s="82"/>
      <c r="AA16" s="82"/>
    </row>
    <row r="17" spans="1:27">
      <c r="C17" s="14"/>
      <c r="D17" s="12" t="s">
        <v>366</v>
      </c>
      <c r="E17" s="114" t="s">
        <v>269</v>
      </c>
      <c r="F17" s="82">
        <v>0</v>
      </c>
      <c r="G17" s="82">
        <v>33.923148148148101</v>
      </c>
      <c r="H17" s="82">
        <v>9.3049999999999997</v>
      </c>
      <c r="I17" s="82">
        <v>0</v>
      </c>
      <c r="J17" s="82">
        <v>0</v>
      </c>
      <c r="K17" s="82">
        <v>1.177</v>
      </c>
      <c r="L17" s="82">
        <v>1.8049999999999999</v>
      </c>
      <c r="M17" s="82">
        <v>0</v>
      </c>
      <c r="N17" s="82">
        <v>0.275808</v>
      </c>
      <c r="O17" s="82">
        <v>0.56979400000000002</v>
      </c>
      <c r="P17" s="82">
        <v>0.69971399999999995</v>
      </c>
      <c r="Q17" s="82">
        <v>0.52914600000000001</v>
      </c>
      <c r="R17" s="82">
        <v>0.125528</v>
      </c>
      <c r="S17" s="82">
        <v>4.5691870000000003</v>
      </c>
      <c r="T17" s="82">
        <v>5.9857889999999996</v>
      </c>
      <c r="U17" s="82">
        <v>8.8066239999999993</v>
      </c>
      <c r="V17" s="82">
        <v>10.020426</v>
      </c>
      <c r="W17" s="82">
        <v>15.339048999999999</v>
      </c>
      <c r="X17" s="82">
        <v>25.030394999999999</v>
      </c>
      <c r="Y17" s="82">
        <v>34.488712999999997</v>
      </c>
      <c r="Z17" s="82">
        <v>36.462319999999998</v>
      </c>
      <c r="AA17" s="82">
        <v>50.133607222222203</v>
      </c>
    </row>
    <row r="18" spans="1:27">
      <c r="C18" s="14"/>
      <c r="D18" s="12" t="s">
        <v>74</v>
      </c>
      <c r="E18" s="114" t="s">
        <v>269</v>
      </c>
      <c r="F18" s="82">
        <v>280.97985</v>
      </c>
      <c r="G18" s="82">
        <v>175</v>
      </c>
      <c r="H18" s="82">
        <v>184.28800000000001</v>
      </c>
      <c r="I18" s="82">
        <v>223.179</v>
      </c>
      <c r="J18" s="82">
        <v>268.20406937438901</v>
      </c>
      <c r="K18" s="82">
        <v>308.45699999999999</v>
      </c>
      <c r="L18" s="82">
        <v>269.09500000000003</v>
      </c>
      <c r="M18" s="82">
        <v>246.19499999999999</v>
      </c>
      <c r="N18" s="82">
        <v>273.71300000000002</v>
      </c>
      <c r="O18" s="82">
        <v>308.82299999999998</v>
      </c>
      <c r="P18" s="82">
        <v>346.101</v>
      </c>
      <c r="Q18" s="82">
        <v>329.04599999999999</v>
      </c>
      <c r="R18" s="82">
        <v>303.478725</v>
      </c>
      <c r="S18" s="82">
        <v>275.45600000000002</v>
      </c>
      <c r="T18" s="82">
        <v>256.61099999999999</v>
      </c>
      <c r="U18" s="82">
        <v>303.74603289999999</v>
      </c>
      <c r="V18" s="82">
        <v>353.58994999999999</v>
      </c>
      <c r="W18" s="82">
        <v>422.55858999999998</v>
      </c>
      <c r="X18" s="82">
        <v>353.47500000000002</v>
      </c>
      <c r="Y18" s="82">
        <v>342.76738999999998</v>
      </c>
      <c r="Z18" s="82">
        <v>335.831649999999</v>
      </c>
      <c r="AA18" s="82">
        <v>311.87022999999999</v>
      </c>
    </row>
    <row r="19" spans="1:27">
      <c r="C19" s="14"/>
      <c r="D19" s="12" t="s">
        <v>75</v>
      </c>
      <c r="E19" s="114" t="s">
        <v>269</v>
      </c>
      <c r="F19" s="82">
        <v>1154.3551</v>
      </c>
      <c r="G19" s="82">
        <v>1424.2360000000001</v>
      </c>
      <c r="H19" s="82">
        <v>2455.806</v>
      </c>
      <c r="I19" s="82">
        <v>3331.2620000000002</v>
      </c>
      <c r="J19" s="82">
        <v>3610.078</v>
      </c>
      <c r="K19" s="82">
        <v>3755.4810000000002</v>
      </c>
      <c r="L19" s="82">
        <v>4297.7020000000002</v>
      </c>
      <c r="M19" s="82">
        <v>4166.0122670000001</v>
      </c>
      <c r="N19" s="82">
        <v>4824.5723280000002</v>
      </c>
      <c r="O19" s="82">
        <v>4671.8697300000003</v>
      </c>
      <c r="P19" s="82">
        <v>5034.0778782779298</v>
      </c>
      <c r="Q19" s="82">
        <v>6442.5293302685704</v>
      </c>
      <c r="R19" s="82">
        <v>7886.0754313580701</v>
      </c>
      <c r="S19" s="82">
        <v>9310.3998888349506</v>
      </c>
      <c r="T19" s="82">
        <v>10615.66937078</v>
      </c>
      <c r="U19" s="82">
        <v>10139.104803</v>
      </c>
      <c r="V19" s="82">
        <v>10540.409539</v>
      </c>
      <c r="W19" s="82">
        <v>7422.2931099999996</v>
      </c>
      <c r="X19" s="82">
        <v>5947.0144424828704</v>
      </c>
      <c r="Y19" s="82">
        <v>6705.58908043478</v>
      </c>
      <c r="Z19" s="82">
        <v>7368.5261335198502</v>
      </c>
      <c r="AA19" s="82">
        <v>6231.7929493435904</v>
      </c>
    </row>
    <row r="20" spans="1:27">
      <c r="C20" s="12" t="s">
        <v>76</v>
      </c>
      <c r="D20" s="12"/>
      <c r="E20" s="114" t="s">
        <v>269</v>
      </c>
      <c r="F20" s="82">
        <v>5.74950000000013</v>
      </c>
      <c r="G20" s="82">
        <v>8.9588999999998595</v>
      </c>
      <c r="H20" s="82">
        <v>14.096</v>
      </c>
      <c r="I20" s="82">
        <v>17.0590000000002</v>
      </c>
      <c r="J20" s="82">
        <v>14.731999999999999</v>
      </c>
      <c r="K20" s="82">
        <v>19.253999999999898</v>
      </c>
      <c r="L20" s="82">
        <v>10.154000000000501</v>
      </c>
      <c r="M20" s="82">
        <v>7.1589990000002199</v>
      </c>
      <c r="N20" s="82">
        <v>11.5904989999999</v>
      </c>
      <c r="O20" s="82">
        <v>16.689868000000398</v>
      </c>
      <c r="P20" s="82">
        <v>11.3795559999999</v>
      </c>
      <c r="Q20" s="82">
        <v>6.7227020000000302</v>
      </c>
      <c r="R20" s="82">
        <v>2.01146400001016</v>
      </c>
      <c r="S20" s="82">
        <v>1.75476899999921</v>
      </c>
      <c r="T20" s="82">
        <v>5.9159580000014103</v>
      </c>
      <c r="U20" s="82">
        <v>4.8466289999996697</v>
      </c>
      <c r="V20" s="82">
        <v>14.2364269999998</v>
      </c>
      <c r="W20" s="82">
        <v>42.050723000000303</v>
      </c>
      <c r="X20" s="82">
        <v>75.090476609019802</v>
      </c>
      <c r="Y20" s="82">
        <v>58.443845600000003</v>
      </c>
      <c r="Z20" s="82">
        <v>55.971866490729603</v>
      </c>
      <c r="AA20" s="82">
        <v>216.83467074073999</v>
      </c>
    </row>
    <row r="21" spans="1:27">
      <c r="C21" s="12" t="s">
        <v>43</v>
      </c>
      <c r="D21" s="12"/>
      <c r="E21" s="114" t="s">
        <v>269</v>
      </c>
      <c r="F21" s="82">
        <v>1594.2266500000001</v>
      </c>
      <c r="G21" s="82">
        <v>1819.0235666666699</v>
      </c>
      <c r="H21" s="82">
        <v>2936.413</v>
      </c>
      <c r="I21" s="82">
        <v>3779.33</v>
      </c>
      <c r="J21" s="82">
        <v>4051.77506900341</v>
      </c>
      <c r="K21" s="82">
        <v>4270.4210000000003</v>
      </c>
      <c r="L21" s="82">
        <v>4746.4350000000004</v>
      </c>
      <c r="M21" s="82">
        <v>4555.160742</v>
      </c>
      <c r="N21" s="82">
        <v>5224.2122490000002</v>
      </c>
      <c r="O21" s="82">
        <v>5065.8326489999999</v>
      </c>
      <c r="P21" s="82">
        <v>5505.6189042779297</v>
      </c>
      <c r="Q21" s="82">
        <v>6969.1873872685701</v>
      </c>
      <c r="R21" s="82">
        <v>8461.1909173580807</v>
      </c>
      <c r="S21" s="82">
        <v>9778.8814297761292</v>
      </c>
      <c r="T21" s="82">
        <v>11362.16956878</v>
      </c>
      <c r="U21" s="82">
        <v>11266.2374239</v>
      </c>
      <c r="V21" s="82">
        <v>11589.593758000001</v>
      </c>
      <c r="W21" s="82">
        <v>8343.1887139868995</v>
      </c>
      <c r="X21" s="82">
        <v>7003.7970307215201</v>
      </c>
      <c r="Y21" s="82">
        <v>7702.4451410347801</v>
      </c>
      <c r="Z21" s="82">
        <v>8485.9440050105804</v>
      </c>
      <c r="AA21" s="82">
        <v>7133.34858430655</v>
      </c>
    </row>
    <row r="22" spans="1:27">
      <c r="B22" s="12"/>
      <c r="C22" s="12"/>
      <c r="D22" s="12"/>
      <c r="E22" s="61"/>
      <c r="F22" s="82"/>
      <c r="G22" s="82"/>
      <c r="H22" s="82"/>
      <c r="I22" s="82"/>
      <c r="J22" s="82"/>
      <c r="K22" s="82"/>
      <c r="L22" s="82"/>
      <c r="M22" s="82"/>
      <c r="N22" s="82"/>
      <c r="O22" s="82"/>
      <c r="P22" s="82"/>
      <c r="Q22" s="82"/>
      <c r="R22" s="82"/>
      <c r="S22" s="82"/>
      <c r="T22" s="82"/>
      <c r="U22" s="82"/>
      <c r="V22" s="82"/>
      <c r="W22" s="82"/>
      <c r="X22" s="82"/>
      <c r="Y22" s="82"/>
      <c r="Z22" s="82"/>
      <c r="AA22" s="82"/>
    </row>
    <row r="23" spans="1:27">
      <c r="B23" s="131" t="s">
        <v>371</v>
      </c>
      <c r="C23" s="12"/>
      <c r="D23" s="12"/>
      <c r="E23" s="61"/>
      <c r="F23" s="82"/>
      <c r="G23" s="82"/>
      <c r="H23" s="82"/>
      <c r="I23" s="82"/>
      <c r="J23" s="82"/>
      <c r="K23" s="82"/>
      <c r="L23" s="82"/>
      <c r="M23" s="82"/>
      <c r="N23" s="82"/>
      <c r="O23" s="82"/>
      <c r="P23" s="82"/>
      <c r="Q23" s="82"/>
      <c r="R23" s="82"/>
      <c r="S23" s="82"/>
      <c r="T23" s="82"/>
      <c r="U23" s="82"/>
      <c r="V23" s="82"/>
      <c r="W23" s="82"/>
      <c r="X23" s="82"/>
      <c r="Y23" s="82"/>
      <c r="Z23" s="82"/>
      <c r="AA23" s="82"/>
    </row>
    <row r="24" spans="1:27">
      <c r="C24" s="12" t="s">
        <v>369</v>
      </c>
      <c r="D24" s="12"/>
      <c r="E24" s="114" t="s">
        <v>269</v>
      </c>
      <c r="F24" s="82">
        <v>3695.66944807353</v>
      </c>
      <c r="G24" s="82">
        <v>3621.1358373194098</v>
      </c>
      <c r="H24" s="82">
        <v>3593.41537507354</v>
      </c>
      <c r="I24" s="82">
        <v>3412.1281266105102</v>
      </c>
      <c r="J24" s="82">
        <v>3097.4701804751599</v>
      </c>
      <c r="K24" s="82">
        <v>3152.2478259037798</v>
      </c>
      <c r="L24" s="82">
        <v>2807.7328697150301</v>
      </c>
      <c r="M24" s="82">
        <v>2630.3062182552499</v>
      </c>
      <c r="N24" s="82">
        <v>2364.6266472915199</v>
      </c>
      <c r="O24" s="82">
        <v>2285.5111218915199</v>
      </c>
      <c r="P24" s="82">
        <v>1989.3007047000001</v>
      </c>
      <c r="Q24" s="82">
        <v>1969.95230433496</v>
      </c>
      <c r="R24" s="82">
        <v>2055.90828175468</v>
      </c>
      <c r="S24" s="82">
        <v>2155.1119594740799</v>
      </c>
      <c r="T24" s="82">
        <v>2489.971579</v>
      </c>
      <c r="U24" s="82">
        <v>2682.6462735825298</v>
      </c>
      <c r="V24" s="82">
        <v>2511.7281290988999</v>
      </c>
      <c r="W24" s="82">
        <v>1914.71903685247</v>
      </c>
      <c r="X24" s="82">
        <v>2053.7705423584598</v>
      </c>
      <c r="Y24" s="82">
        <v>1993.12986106836</v>
      </c>
      <c r="Z24" s="82">
        <v>1774.9819754325299</v>
      </c>
      <c r="AA24" s="82">
        <v>1506.7723846510301</v>
      </c>
    </row>
    <row r="25" spans="1:27">
      <c r="C25" s="12" t="s">
        <v>73</v>
      </c>
      <c r="D25" s="12"/>
      <c r="E25" s="61"/>
      <c r="F25" s="82"/>
      <c r="G25" s="82"/>
      <c r="H25" s="82"/>
      <c r="I25" s="82"/>
      <c r="J25" s="82"/>
      <c r="K25" s="82"/>
      <c r="L25" s="82"/>
      <c r="M25" s="82"/>
      <c r="N25" s="82"/>
      <c r="O25" s="82"/>
      <c r="P25" s="82"/>
      <c r="Q25" s="82"/>
      <c r="R25" s="82"/>
      <c r="S25" s="82"/>
      <c r="T25" s="82"/>
      <c r="U25" s="82"/>
      <c r="V25" s="82"/>
      <c r="W25" s="82"/>
      <c r="X25" s="82"/>
      <c r="Y25" s="82"/>
      <c r="Z25" s="82"/>
      <c r="AA25" s="82"/>
    </row>
    <row r="26" spans="1:27">
      <c r="C26" s="14"/>
      <c r="D26" s="12" t="s">
        <v>366</v>
      </c>
      <c r="E26" s="114" t="s">
        <v>269</v>
      </c>
      <c r="F26" s="82">
        <v>19.2</v>
      </c>
      <c r="G26" s="82">
        <v>52.623148148148097</v>
      </c>
      <c r="H26" s="82">
        <v>30.876000000000001</v>
      </c>
      <c r="I26" s="82">
        <v>21.5</v>
      </c>
      <c r="J26" s="82">
        <v>21.05</v>
      </c>
      <c r="K26" s="82">
        <v>29.376999999999999</v>
      </c>
      <c r="L26" s="82">
        <v>22.004999999999999</v>
      </c>
      <c r="M26" s="82">
        <v>31.32978</v>
      </c>
      <c r="N26" s="82">
        <v>22.235807999999999</v>
      </c>
      <c r="O26" s="82">
        <v>22.595794000000001</v>
      </c>
      <c r="P26" s="82">
        <v>26.891216</v>
      </c>
      <c r="Q26" s="82">
        <v>27.462088000000001</v>
      </c>
      <c r="R26" s="82">
        <v>25.631996000000001</v>
      </c>
      <c r="S26" s="82">
        <v>39.302483000000002</v>
      </c>
      <c r="T26" s="82">
        <v>36.301873999999998</v>
      </c>
      <c r="U26" s="82">
        <v>36.380898000000002</v>
      </c>
      <c r="V26" s="82">
        <v>41.110923999999997</v>
      </c>
      <c r="W26" s="82">
        <v>35.182999000000002</v>
      </c>
      <c r="X26" s="82">
        <v>37.414163000000002</v>
      </c>
      <c r="Y26" s="82">
        <v>51.968266999999997</v>
      </c>
      <c r="Z26" s="82">
        <v>47.158436999999999</v>
      </c>
      <c r="AA26" s="82">
        <v>64.341548222222102</v>
      </c>
    </row>
    <row r="27" spans="1:27">
      <c r="C27" s="14"/>
      <c r="D27" s="12" t="s">
        <v>74</v>
      </c>
      <c r="E27" s="114" t="s">
        <v>269</v>
      </c>
      <c r="F27" s="82">
        <v>970.31185000000005</v>
      </c>
      <c r="G27" s="82">
        <v>976.84957777777799</v>
      </c>
      <c r="H27" s="82">
        <v>953.64499999999998</v>
      </c>
      <c r="I27" s="82">
        <v>793.29899999999998</v>
      </c>
      <c r="J27" s="82">
        <v>880.21514937438894</v>
      </c>
      <c r="K27" s="82">
        <v>907.99</v>
      </c>
      <c r="L27" s="82">
        <v>952.92876999999999</v>
      </c>
      <c r="M27" s="82">
        <v>865.53499999999997</v>
      </c>
      <c r="N27" s="82">
        <v>871.17600000000004</v>
      </c>
      <c r="O27" s="82">
        <v>885.44100000000003</v>
      </c>
      <c r="P27" s="82">
        <v>882.57365400000003</v>
      </c>
      <c r="Q27" s="82">
        <v>846.83</v>
      </c>
      <c r="R27" s="82">
        <v>860.03172500000005</v>
      </c>
      <c r="S27" s="82">
        <v>810.75599999999997</v>
      </c>
      <c r="T27" s="82">
        <v>795.25699999999995</v>
      </c>
      <c r="U27" s="82">
        <v>746.35703290000004</v>
      </c>
      <c r="V27" s="82">
        <v>788.49995000000001</v>
      </c>
      <c r="W27" s="82">
        <v>865.95758999999998</v>
      </c>
      <c r="X27" s="82">
        <v>700</v>
      </c>
      <c r="Y27" s="82">
        <v>726.60539000000006</v>
      </c>
      <c r="Z27" s="82">
        <v>421.68864999999897</v>
      </c>
      <c r="AA27" s="82">
        <v>326.04430407407398</v>
      </c>
    </row>
    <row r="28" spans="1:27">
      <c r="C28" s="14"/>
      <c r="D28" s="12" t="s">
        <v>75</v>
      </c>
      <c r="E28" s="114" t="s">
        <v>269</v>
      </c>
      <c r="F28" s="82">
        <v>7050.5331800000004</v>
      </c>
      <c r="G28" s="82">
        <v>7065.3773296296304</v>
      </c>
      <c r="H28" s="82">
        <v>8018.8081499999998</v>
      </c>
      <c r="I28" s="82">
        <v>7919.5649999999996</v>
      </c>
      <c r="J28" s="82">
        <v>8336.84094</v>
      </c>
      <c r="K28" s="82">
        <v>8901.1160099999997</v>
      </c>
      <c r="L28" s="82">
        <v>8537.2274199999993</v>
      </c>
      <c r="M28" s="82">
        <v>7459.5459449999998</v>
      </c>
      <c r="N28" s="82">
        <v>8102.3827099999999</v>
      </c>
      <c r="O28" s="82">
        <v>6110.4834007999998</v>
      </c>
      <c r="P28" s="82">
        <v>6132.7229985779304</v>
      </c>
      <c r="Q28" s="82">
        <v>7859.8235432685697</v>
      </c>
      <c r="R28" s="82">
        <v>9210.3399993580806</v>
      </c>
      <c r="S28" s="82">
        <v>10575.562983835</v>
      </c>
      <c r="T28" s="82">
        <v>12012.08014978</v>
      </c>
      <c r="U28" s="82">
        <v>11706.489076</v>
      </c>
      <c r="V28" s="82">
        <v>11938.408692000001</v>
      </c>
      <c r="W28" s="82">
        <v>8855.1803990000008</v>
      </c>
      <c r="X28" s="82">
        <v>7294.0372128532399</v>
      </c>
      <c r="Y28" s="82">
        <v>8064.8569747868296</v>
      </c>
      <c r="Z28" s="82">
        <v>8371.5325795198496</v>
      </c>
      <c r="AA28" s="82">
        <v>7226.3177211213697</v>
      </c>
    </row>
    <row r="29" spans="1:27">
      <c r="C29" s="12" t="s">
        <v>76</v>
      </c>
      <c r="D29" s="12"/>
      <c r="E29" s="114" t="s">
        <v>269</v>
      </c>
      <c r="F29" s="82">
        <v>172.55809783766901</v>
      </c>
      <c r="G29" s="82">
        <v>193.33147284392899</v>
      </c>
      <c r="H29" s="82">
        <v>206.080572700261</v>
      </c>
      <c r="I29" s="82">
        <v>208.262380450291</v>
      </c>
      <c r="J29" s="82">
        <v>266.84119642115002</v>
      </c>
      <c r="K29" s="82">
        <v>219.85850783130101</v>
      </c>
      <c r="L29" s="82">
        <v>165.22159999997001</v>
      </c>
      <c r="M29" s="82">
        <v>157.46591600004999</v>
      </c>
      <c r="N29" s="82">
        <v>190.09790299997999</v>
      </c>
      <c r="O29" s="82">
        <v>244.18799300000001</v>
      </c>
      <c r="P29" s="82">
        <v>222.01383899999999</v>
      </c>
      <c r="Q29" s="82">
        <v>195.14398361536999</v>
      </c>
      <c r="R29" s="82">
        <v>208.98949469230101</v>
      </c>
      <c r="S29" s="82">
        <v>156.23660838499899</v>
      </c>
      <c r="T29" s="82">
        <v>183.60134869999999</v>
      </c>
      <c r="U29" s="82">
        <v>187.42264200000099</v>
      </c>
      <c r="V29" s="82">
        <v>178.02694799999901</v>
      </c>
      <c r="W29" s="82">
        <v>218.208491000029</v>
      </c>
      <c r="X29" s="82">
        <v>246.19680369919999</v>
      </c>
      <c r="Y29" s="82">
        <v>222.547275747209</v>
      </c>
      <c r="Z29" s="82">
        <v>279.56726849071998</v>
      </c>
      <c r="AA29" s="82">
        <v>390.30483951852102</v>
      </c>
    </row>
    <row r="30" spans="1:27">
      <c r="C30" s="12" t="s">
        <v>87</v>
      </c>
      <c r="D30" s="12"/>
      <c r="E30" s="114" t="s">
        <v>269</v>
      </c>
      <c r="F30" s="82">
        <v>11908.2725759112</v>
      </c>
      <c r="G30" s="82">
        <v>11909.3173657189</v>
      </c>
      <c r="H30" s="82">
        <v>12802.825097773801</v>
      </c>
      <c r="I30" s="82">
        <v>12354.754507060799</v>
      </c>
      <c r="J30" s="82">
        <v>12602.417466270699</v>
      </c>
      <c r="K30" s="82">
        <v>13210.589343735101</v>
      </c>
      <c r="L30" s="82">
        <v>12485.115659715</v>
      </c>
      <c r="M30" s="82">
        <v>11144.182859255299</v>
      </c>
      <c r="N30" s="82">
        <v>11550.5190682915</v>
      </c>
      <c r="O30" s="82">
        <v>9548.2193096915198</v>
      </c>
      <c r="P30" s="82">
        <v>9253.5024122779305</v>
      </c>
      <c r="Q30" s="82">
        <v>10899.2119192189</v>
      </c>
      <c r="R30" s="82">
        <v>12360.9014968051</v>
      </c>
      <c r="S30" s="82">
        <v>13736.970034694001</v>
      </c>
      <c r="T30" s="82">
        <v>15517.21195148</v>
      </c>
      <c r="U30" s="82">
        <v>15359.295922482501</v>
      </c>
      <c r="V30" s="82">
        <v>15457.774643098899</v>
      </c>
      <c r="W30" s="82">
        <v>11889.2485158525</v>
      </c>
      <c r="X30" s="82">
        <v>10331.418721910901</v>
      </c>
      <c r="Y30" s="82">
        <v>11059.1077686024</v>
      </c>
      <c r="Z30" s="82">
        <v>10894.928910443101</v>
      </c>
      <c r="AA30" s="82">
        <v>9513.7807975872092</v>
      </c>
    </row>
    <row r="31" spans="1:27">
      <c r="A31" s="12"/>
      <c r="B31" s="12"/>
      <c r="C31" s="12"/>
      <c r="E31" s="61"/>
      <c r="F31" s="82"/>
      <c r="G31" s="82"/>
      <c r="H31" s="82"/>
      <c r="I31" s="82"/>
      <c r="J31" s="82"/>
      <c r="K31" s="82"/>
      <c r="L31" s="82"/>
      <c r="M31" s="82"/>
      <c r="N31" s="82"/>
      <c r="O31" s="82"/>
      <c r="P31" s="82"/>
      <c r="Q31" s="82"/>
      <c r="R31" s="82"/>
      <c r="S31" s="82"/>
      <c r="T31" s="82"/>
      <c r="U31" s="82"/>
      <c r="V31" s="82"/>
      <c r="W31" s="82"/>
      <c r="X31" s="82"/>
      <c r="Y31" s="82"/>
      <c r="Z31" s="82"/>
      <c r="AA31" s="82"/>
    </row>
    <row r="32" spans="1:27">
      <c r="A32" s="131" t="s">
        <v>42</v>
      </c>
      <c r="B32" s="12"/>
      <c r="C32" s="12"/>
      <c r="E32" s="61"/>
      <c r="F32" s="82"/>
      <c r="G32" s="82"/>
      <c r="H32" s="82"/>
      <c r="I32" s="82"/>
      <c r="J32" s="82"/>
      <c r="K32" s="82"/>
      <c r="L32" s="82"/>
      <c r="M32" s="82"/>
      <c r="N32" s="82"/>
      <c r="O32" s="82"/>
      <c r="P32" s="82"/>
      <c r="Q32" s="82"/>
      <c r="R32" s="82"/>
      <c r="S32" s="82"/>
      <c r="T32" s="82"/>
      <c r="U32" s="82"/>
      <c r="V32" s="82"/>
      <c r="W32" s="82"/>
      <c r="X32" s="82"/>
      <c r="Y32" s="82"/>
      <c r="Z32" s="82"/>
      <c r="AA32" s="82"/>
    </row>
    <row r="33" spans="1:27">
      <c r="B33" s="131" t="s">
        <v>71</v>
      </c>
      <c r="C33" s="12"/>
      <c r="D33" s="24"/>
      <c r="E33" s="58"/>
      <c r="F33" s="82"/>
      <c r="G33" s="82"/>
      <c r="H33" s="82"/>
      <c r="I33" s="82"/>
      <c r="J33" s="82"/>
      <c r="K33" s="82"/>
      <c r="L33" s="82"/>
      <c r="M33" s="82"/>
      <c r="N33" s="82"/>
      <c r="O33" s="82"/>
      <c r="P33" s="82"/>
      <c r="Q33" s="82"/>
      <c r="R33" s="82"/>
      <c r="S33" s="82"/>
      <c r="T33" s="82"/>
      <c r="U33" s="82"/>
      <c r="V33" s="82"/>
      <c r="W33" s="82"/>
      <c r="X33" s="82"/>
      <c r="Y33" s="82"/>
      <c r="Z33" s="82"/>
      <c r="AA33" s="82"/>
    </row>
    <row r="34" spans="1:27">
      <c r="C34" s="12" t="s">
        <v>332</v>
      </c>
      <c r="D34" s="11"/>
      <c r="E34" s="114" t="s">
        <v>269</v>
      </c>
      <c r="F34" s="82">
        <v>297.24027000000001</v>
      </c>
      <c r="G34" s="82">
        <v>316.15056199999998</v>
      </c>
      <c r="H34" s="82">
        <v>291.38515854691798</v>
      </c>
      <c r="I34" s="82">
        <v>279.33999999999997</v>
      </c>
      <c r="J34" s="82">
        <v>223.74881345262699</v>
      </c>
      <c r="K34" s="82">
        <v>209.751</v>
      </c>
      <c r="L34" s="82">
        <v>211.14824999999999</v>
      </c>
      <c r="M34" s="82">
        <v>197.94436899999999</v>
      </c>
      <c r="N34" s="82">
        <v>181.82447999999999</v>
      </c>
      <c r="O34" s="82">
        <v>160.93839500000001</v>
      </c>
      <c r="P34" s="82">
        <v>167.75592499999999</v>
      </c>
      <c r="Q34" s="82">
        <v>158.39311000000001</v>
      </c>
      <c r="R34" s="82">
        <v>176.874122</v>
      </c>
      <c r="S34" s="82">
        <v>169.31784903067901</v>
      </c>
      <c r="T34" s="82">
        <v>162.81106</v>
      </c>
      <c r="U34" s="82">
        <v>154.26373062616801</v>
      </c>
      <c r="V34" s="82">
        <v>149.02763462616801</v>
      </c>
      <c r="W34" s="82">
        <v>139.60393462616801</v>
      </c>
      <c r="X34" s="82">
        <v>132.01368892616799</v>
      </c>
      <c r="Y34" s="82">
        <v>138.95857950000001</v>
      </c>
      <c r="Z34" s="82">
        <v>123.62767700000001</v>
      </c>
      <c r="AA34" s="82">
        <v>115.799477</v>
      </c>
    </row>
    <row r="35" spans="1:27">
      <c r="A35" s="131"/>
      <c r="B35" s="12"/>
      <c r="C35" s="12"/>
      <c r="E35" s="61"/>
      <c r="F35" s="82"/>
      <c r="G35" s="82"/>
      <c r="H35" s="82"/>
      <c r="I35" s="82"/>
      <c r="J35" s="82"/>
      <c r="K35" s="82"/>
      <c r="L35" s="82"/>
      <c r="M35" s="82"/>
      <c r="N35" s="82"/>
      <c r="O35" s="82"/>
      <c r="P35" s="82"/>
      <c r="Q35" s="82"/>
      <c r="R35" s="82"/>
      <c r="S35" s="82"/>
      <c r="T35" s="82"/>
      <c r="U35" s="82"/>
      <c r="V35" s="82"/>
      <c r="W35" s="82"/>
      <c r="X35" s="82"/>
      <c r="Y35" s="82"/>
      <c r="Z35" s="82"/>
      <c r="AA35" s="82"/>
    </row>
    <row r="36" spans="1:27">
      <c r="B36" s="131" t="s">
        <v>77</v>
      </c>
      <c r="C36" s="12"/>
      <c r="D36" s="12"/>
      <c r="E36" s="58"/>
      <c r="F36" s="82"/>
      <c r="G36" s="82"/>
      <c r="H36" s="82"/>
      <c r="I36" s="82"/>
      <c r="J36" s="82"/>
      <c r="K36" s="82"/>
      <c r="L36" s="82"/>
      <c r="M36" s="82"/>
      <c r="N36" s="82"/>
      <c r="O36" s="82"/>
      <c r="P36" s="82"/>
      <c r="Q36" s="82"/>
      <c r="R36" s="82"/>
      <c r="S36" s="82"/>
      <c r="T36" s="82"/>
      <c r="U36" s="82"/>
      <c r="V36" s="82"/>
      <c r="W36" s="82"/>
      <c r="X36" s="82"/>
      <c r="Y36" s="82"/>
      <c r="Z36" s="82"/>
      <c r="AA36" s="82"/>
    </row>
    <row r="37" spans="1:27">
      <c r="C37" s="12" t="s">
        <v>368</v>
      </c>
      <c r="D37" s="12"/>
      <c r="E37" s="114" t="s">
        <v>269</v>
      </c>
      <c r="F37" s="82">
        <v>8259.8088200000002</v>
      </c>
      <c r="G37" s="82">
        <v>8827.1712204296291</v>
      </c>
      <c r="H37" s="82">
        <v>8829.240002200002</v>
      </c>
      <c r="I37" s="82">
        <v>9104.55371483011</v>
      </c>
      <c r="J37" s="82">
        <v>9253.320874568064</v>
      </c>
      <c r="K37" s="82">
        <v>9421.70323712973</v>
      </c>
      <c r="L37" s="82">
        <v>8340.5807951094994</v>
      </c>
      <c r="M37" s="82">
        <v>9326.9898611644494</v>
      </c>
      <c r="N37" s="82">
        <v>8805.9254191874315</v>
      </c>
      <c r="O37" s="82">
        <v>8121.4173434851191</v>
      </c>
      <c r="P37" s="82">
        <v>8134.6397091500503</v>
      </c>
      <c r="Q37" s="82">
        <v>9122.2722943599983</v>
      </c>
      <c r="R37" s="82">
        <v>9531.7385914330716</v>
      </c>
      <c r="S37" s="82">
        <v>9985.8598303833223</v>
      </c>
      <c r="T37" s="82">
        <v>10693.5548684974</v>
      </c>
      <c r="U37" s="82">
        <v>10686.192706612532</v>
      </c>
      <c r="V37" s="82">
        <v>10203.187264955634</v>
      </c>
      <c r="W37" s="82">
        <v>10514.757508597631</v>
      </c>
      <c r="X37" s="82">
        <v>9879.9547505981318</v>
      </c>
      <c r="Y37" s="82">
        <v>8528.3066343484297</v>
      </c>
      <c r="Z37" s="82">
        <v>7871.5917735613393</v>
      </c>
      <c r="AA37" s="82">
        <v>7620.2819903831605</v>
      </c>
    </row>
    <row r="38" spans="1:27">
      <c r="C38" s="12" t="s">
        <v>73</v>
      </c>
      <c r="D38" s="12"/>
      <c r="E38" s="58"/>
      <c r="F38" s="82"/>
      <c r="G38" s="82"/>
      <c r="H38" s="82"/>
      <c r="I38" s="82"/>
      <c r="J38" s="82"/>
      <c r="K38" s="82"/>
      <c r="L38" s="82"/>
      <c r="M38" s="82"/>
      <c r="N38" s="82"/>
      <c r="O38" s="82"/>
      <c r="P38" s="82"/>
      <c r="Q38" s="82"/>
      <c r="R38" s="82"/>
      <c r="S38" s="82"/>
      <c r="T38" s="82"/>
      <c r="U38" s="82"/>
      <c r="V38" s="82"/>
      <c r="W38" s="82"/>
      <c r="X38" s="82"/>
      <c r="Y38" s="82"/>
      <c r="Z38" s="82"/>
      <c r="AA38" s="82"/>
    </row>
    <row r="39" spans="1:27">
      <c r="C39" s="14"/>
      <c r="D39" s="12" t="s">
        <v>366</v>
      </c>
      <c r="E39" s="114" t="s">
        <v>269</v>
      </c>
      <c r="F39" s="82">
        <v>1584.13841</v>
      </c>
      <c r="G39" s="82">
        <v>1418.18089844</v>
      </c>
      <c r="H39" s="82">
        <v>1318.35906525</v>
      </c>
      <c r="I39" s="82">
        <v>1418.0576613999999</v>
      </c>
      <c r="J39" s="82">
        <v>1154.4704498168901</v>
      </c>
      <c r="K39" s="82">
        <v>1221.82222</v>
      </c>
      <c r="L39" s="82">
        <v>991.73992999999996</v>
      </c>
      <c r="M39" s="82">
        <v>1133.83923</v>
      </c>
      <c r="N39" s="82">
        <v>1212.14394666667</v>
      </c>
      <c r="O39" s="82">
        <v>1210.5471</v>
      </c>
      <c r="P39" s="82">
        <v>957.08705999999995</v>
      </c>
      <c r="Q39" s="82">
        <v>959.25041599999997</v>
      </c>
      <c r="R39" s="82">
        <v>1008.34124</v>
      </c>
      <c r="S39" s="82">
        <v>1121.613822</v>
      </c>
      <c r="T39" s="82">
        <v>1360.8623719992399</v>
      </c>
      <c r="U39" s="82">
        <v>987.07682399999999</v>
      </c>
      <c r="V39" s="82">
        <v>1026.89249</v>
      </c>
      <c r="W39" s="82">
        <v>1265.5864782000001</v>
      </c>
      <c r="X39" s="82">
        <v>1433.9848433</v>
      </c>
      <c r="Y39" s="82">
        <v>1402.650412</v>
      </c>
      <c r="Z39" s="82">
        <v>1293.0252105</v>
      </c>
      <c r="AA39" s="82">
        <v>1386.3565635980001</v>
      </c>
    </row>
    <row r="40" spans="1:27">
      <c r="C40" s="14"/>
      <c r="D40" s="12" t="s">
        <v>74</v>
      </c>
      <c r="E40" s="114" t="s">
        <v>269</v>
      </c>
      <c r="F40" s="82">
        <v>2259.2539999999999</v>
      </c>
      <c r="G40" s="82">
        <v>2166.2482140740699</v>
      </c>
      <c r="H40" s="82">
        <v>2112.1647865</v>
      </c>
      <c r="I40" s="82">
        <v>1941.2940979</v>
      </c>
      <c r="J40" s="82">
        <v>2190.7713832776099</v>
      </c>
      <c r="K40" s="82">
        <v>2380.2946400000001</v>
      </c>
      <c r="L40" s="82">
        <v>2489.670325</v>
      </c>
      <c r="M40" s="82">
        <v>2542.0837750000001</v>
      </c>
      <c r="N40" s="82">
        <v>3186.0233189999999</v>
      </c>
      <c r="O40" s="82">
        <v>2810.3635039999999</v>
      </c>
      <c r="P40" s="82">
        <v>2728.5265979999999</v>
      </c>
      <c r="Q40" s="82">
        <v>2638.574259</v>
      </c>
      <c r="R40" s="82">
        <v>2570.154712</v>
      </c>
      <c r="S40" s="82">
        <v>2827.8611780000001</v>
      </c>
      <c r="T40" s="82">
        <v>2981.710106</v>
      </c>
      <c r="U40" s="82">
        <v>3091.1296142000001</v>
      </c>
      <c r="V40" s="82">
        <v>3016.5754280000001</v>
      </c>
      <c r="W40" s="82">
        <v>2850.3992058757699</v>
      </c>
      <c r="X40" s="82">
        <v>2651.4568494</v>
      </c>
      <c r="Y40" s="82">
        <v>2932.9811158000002</v>
      </c>
      <c r="Z40" s="82">
        <v>2774.9030401</v>
      </c>
      <c r="AA40" s="82">
        <v>2877.3172970000001</v>
      </c>
    </row>
    <row r="41" spans="1:27">
      <c r="C41" s="14"/>
      <c r="D41" s="12" t="s">
        <v>75</v>
      </c>
      <c r="E41" s="114" t="s">
        <v>269</v>
      </c>
      <c r="F41" s="82">
        <v>1133.2335</v>
      </c>
      <c r="G41" s="82">
        <v>1517.49439856</v>
      </c>
      <c r="H41" s="82">
        <v>1297.73718125</v>
      </c>
      <c r="I41" s="82">
        <v>1221.0840900000001</v>
      </c>
      <c r="J41" s="82">
        <v>1280.9096715818</v>
      </c>
      <c r="K41" s="82">
        <v>1523.7648099999999</v>
      </c>
      <c r="L41" s="82">
        <v>889.02095299999996</v>
      </c>
      <c r="M41" s="82">
        <v>823.31310399999995</v>
      </c>
      <c r="N41" s="82">
        <v>1233.9257970000001</v>
      </c>
      <c r="O41" s="82">
        <v>1261.9140910000001</v>
      </c>
      <c r="P41" s="82">
        <v>1212.017257</v>
      </c>
      <c r="Q41" s="82">
        <v>1119.851085</v>
      </c>
      <c r="R41" s="82">
        <v>1321.75458034344</v>
      </c>
      <c r="S41" s="82">
        <v>1908.38257909855</v>
      </c>
      <c r="T41" s="82">
        <v>2174.4742818386298</v>
      </c>
      <c r="U41" s="82">
        <v>2269.0513370301801</v>
      </c>
      <c r="V41" s="82">
        <v>2297.4477206127199</v>
      </c>
      <c r="W41" s="82">
        <v>2286.75559511238</v>
      </c>
      <c r="X41" s="82">
        <v>2091.5767503194102</v>
      </c>
      <c r="Y41" s="82">
        <v>1463.6998977386099</v>
      </c>
      <c r="Z41" s="82">
        <v>1496.8502257021501</v>
      </c>
      <c r="AA41" s="82">
        <v>1433.04468375908</v>
      </c>
    </row>
    <row r="42" spans="1:27">
      <c r="C42" s="12" t="s">
        <v>76</v>
      </c>
      <c r="D42" s="12"/>
      <c r="E42" s="114" t="s">
        <v>269</v>
      </c>
      <c r="F42" s="82">
        <v>377.07821999999999</v>
      </c>
      <c r="G42" s="82">
        <v>343.39748400000002</v>
      </c>
      <c r="H42" s="82">
        <v>346.64658537634398</v>
      </c>
      <c r="I42" s="82">
        <v>415.0715065</v>
      </c>
      <c r="J42" s="82">
        <v>486.36739408453002</v>
      </c>
      <c r="K42" s="82">
        <v>399.83259099999998</v>
      </c>
      <c r="L42" s="82">
        <v>391.52741700000001</v>
      </c>
      <c r="M42" s="82">
        <v>394.326055</v>
      </c>
      <c r="N42" s="82">
        <v>361.22974999999701</v>
      </c>
      <c r="O42" s="82">
        <v>383.48046200000198</v>
      </c>
      <c r="P42" s="82">
        <v>418.25708419999802</v>
      </c>
      <c r="Q42" s="82">
        <v>368.50280600000002</v>
      </c>
      <c r="R42" s="82">
        <v>320.19925699999999</v>
      </c>
      <c r="S42" s="82">
        <v>333.01272699999998</v>
      </c>
      <c r="T42" s="82">
        <v>315.55755499999998</v>
      </c>
      <c r="U42" s="82">
        <v>392.293927</v>
      </c>
      <c r="V42" s="82">
        <v>448.56798300000003</v>
      </c>
      <c r="W42" s="82">
        <v>534.75439439116303</v>
      </c>
      <c r="X42" s="82">
        <v>576.74867700000004</v>
      </c>
      <c r="Y42" s="82">
        <v>457.57837979999999</v>
      </c>
      <c r="Z42" s="82">
        <v>393.45218299073201</v>
      </c>
      <c r="AA42" s="82">
        <v>422.50982503999899</v>
      </c>
    </row>
    <row r="43" spans="1:27">
      <c r="C43" s="12" t="s">
        <v>43</v>
      </c>
      <c r="D43" s="12"/>
      <c r="E43" s="114" t="s">
        <v>269</v>
      </c>
      <c r="F43" s="82">
        <v>13613.512949999998</v>
      </c>
      <c r="G43" s="82">
        <v>14272.492215503698</v>
      </c>
      <c r="H43" s="82">
        <v>13904.147620576347</v>
      </c>
      <c r="I43" s="82">
        <v>14100.06107063011</v>
      </c>
      <c r="J43" s="82">
        <v>14365.839773328893</v>
      </c>
      <c r="K43" s="82">
        <v>14947.417498129731</v>
      </c>
      <c r="L43" s="82">
        <v>13102.539420109499</v>
      </c>
      <c r="M43" s="82">
        <v>14220.55202516445</v>
      </c>
      <c r="N43" s="82">
        <v>14799.248231854099</v>
      </c>
      <c r="O43" s="82">
        <v>13787.722500485121</v>
      </c>
      <c r="P43" s="82">
        <v>13450.52770835005</v>
      </c>
      <c r="Q43" s="82">
        <v>14208.450860359999</v>
      </c>
      <c r="R43" s="82">
        <v>14752.188380776512</v>
      </c>
      <c r="S43" s="82">
        <v>16176.730136481872</v>
      </c>
      <c r="T43" s="82">
        <v>17526.159183335269</v>
      </c>
      <c r="U43" s="82">
        <v>17425.744408842711</v>
      </c>
      <c r="V43" s="82">
        <v>16992.670886568354</v>
      </c>
      <c r="W43" s="82">
        <v>17452.253182176944</v>
      </c>
      <c r="X43" s="82">
        <v>16633.721870617541</v>
      </c>
      <c r="Y43" s="82">
        <v>14785.216439687041</v>
      </c>
      <c r="Z43" s="82">
        <v>13829.822432854222</v>
      </c>
      <c r="AA43" s="82">
        <v>13739.510359780239</v>
      </c>
    </row>
    <row r="44" spans="1:27">
      <c r="B44" s="12"/>
      <c r="C44" s="12"/>
      <c r="D44" s="12"/>
      <c r="E44" s="61"/>
      <c r="F44" s="82"/>
      <c r="G44" s="82"/>
      <c r="H44" s="82"/>
      <c r="I44" s="82"/>
      <c r="J44" s="82"/>
      <c r="K44" s="82"/>
      <c r="L44" s="82"/>
      <c r="M44" s="82"/>
      <c r="N44" s="82"/>
      <c r="O44" s="82"/>
      <c r="P44" s="82"/>
      <c r="Q44" s="82"/>
      <c r="R44" s="82"/>
      <c r="S44" s="82"/>
      <c r="T44" s="82"/>
      <c r="U44" s="82"/>
      <c r="V44" s="82"/>
      <c r="W44" s="82"/>
      <c r="X44" s="82"/>
      <c r="Y44" s="82"/>
      <c r="Z44" s="82"/>
      <c r="AA44" s="82"/>
    </row>
    <row r="45" spans="1:27">
      <c r="B45" s="131" t="s">
        <v>333</v>
      </c>
      <c r="C45" s="12"/>
      <c r="D45" s="12"/>
      <c r="E45" s="61"/>
      <c r="F45" s="82"/>
      <c r="G45" s="82"/>
      <c r="H45" s="82"/>
      <c r="I45" s="82"/>
      <c r="J45" s="82"/>
      <c r="K45" s="82"/>
      <c r="L45" s="82"/>
      <c r="M45" s="82"/>
      <c r="N45" s="82"/>
      <c r="O45" s="82"/>
      <c r="P45" s="82"/>
      <c r="Q45" s="82"/>
      <c r="R45" s="82"/>
      <c r="S45" s="82"/>
      <c r="T45" s="82"/>
      <c r="U45" s="82"/>
      <c r="V45" s="82"/>
      <c r="W45" s="82"/>
      <c r="X45" s="82"/>
      <c r="Y45" s="82"/>
      <c r="Z45" s="82"/>
      <c r="AA45" s="82"/>
    </row>
    <row r="46" spans="1:27">
      <c r="C46" s="12" t="s">
        <v>373</v>
      </c>
      <c r="D46" s="12"/>
      <c r="E46" s="114" t="s">
        <v>269</v>
      </c>
      <c r="F46" s="82">
        <v>8557.0490900000004</v>
      </c>
      <c r="G46" s="82">
        <v>9143.3217824296298</v>
      </c>
      <c r="H46" s="82">
        <v>9120.6251607469203</v>
      </c>
      <c r="I46" s="82">
        <v>9383.8937148301102</v>
      </c>
      <c r="J46" s="82">
        <v>9477.0696880206906</v>
      </c>
      <c r="K46" s="82">
        <v>9631.4542371297302</v>
      </c>
      <c r="L46" s="82">
        <v>8551.7290451094996</v>
      </c>
      <c r="M46" s="82">
        <v>9524.9342301644501</v>
      </c>
      <c r="N46" s="82">
        <v>8987.7498991874309</v>
      </c>
      <c r="O46" s="82">
        <v>8282.3557384851192</v>
      </c>
      <c r="P46" s="82">
        <v>8302.3956341500507</v>
      </c>
      <c r="Q46" s="82">
        <v>9280.6654043599992</v>
      </c>
      <c r="R46" s="82">
        <v>9708.6127134330709</v>
      </c>
      <c r="S46" s="82">
        <v>10155.177679414001</v>
      </c>
      <c r="T46" s="82">
        <v>10856.3659284974</v>
      </c>
      <c r="U46" s="82">
        <v>10840.456437238699</v>
      </c>
      <c r="V46" s="82">
        <v>10352.214899581801</v>
      </c>
      <c r="W46" s="82">
        <v>10654.361443223799</v>
      </c>
      <c r="X46" s="82">
        <v>10011.9684395243</v>
      </c>
      <c r="Y46" s="82">
        <v>8667.26521384843</v>
      </c>
      <c r="Z46" s="82">
        <v>7995.2194505613397</v>
      </c>
      <c r="AA46" s="82">
        <v>7736.0814673831601</v>
      </c>
    </row>
    <row r="47" spans="1:27">
      <c r="C47" s="12" t="s">
        <v>73</v>
      </c>
      <c r="D47" s="12"/>
      <c r="E47" s="61"/>
      <c r="F47" s="82"/>
      <c r="G47" s="82"/>
      <c r="H47" s="82"/>
      <c r="I47" s="82"/>
      <c r="J47" s="82"/>
      <c r="K47" s="82"/>
      <c r="L47" s="82"/>
      <c r="M47" s="82"/>
      <c r="N47" s="82"/>
      <c r="O47" s="82"/>
      <c r="P47" s="82"/>
      <c r="Q47" s="82"/>
      <c r="R47" s="82"/>
      <c r="S47" s="82"/>
      <c r="T47" s="82"/>
      <c r="U47" s="82"/>
      <c r="V47" s="82"/>
      <c r="W47" s="82"/>
      <c r="X47" s="82"/>
      <c r="Y47" s="82"/>
      <c r="Z47" s="82"/>
      <c r="AA47" s="82"/>
    </row>
    <row r="48" spans="1:27">
      <c r="C48" s="14"/>
      <c r="D48" s="12" t="s">
        <v>366</v>
      </c>
      <c r="E48" s="114" t="s">
        <v>269</v>
      </c>
      <c r="F48" s="82">
        <v>1584.13841</v>
      </c>
      <c r="G48" s="82">
        <v>1418.18089844</v>
      </c>
      <c r="H48" s="82">
        <v>1318.35906525</v>
      </c>
      <c r="I48" s="82">
        <v>1418.0576613999999</v>
      </c>
      <c r="J48" s="82">
        <v>1154.4704498168901</v>
      </c>
      <c r="K48" s="82">
        <v>1221.82222</v>
      </c>
      <c r="L48" s="82">
        <v>991.73992999999996</v>
      </c>
      <c r="M48" s="82">
        <v>1133.83923</v>
      </c>
      <c r="N48" s="82">
        <v>1212.14394666667</v>
      </c>
      <c r="O48" s="82">
        <v>1210.5471</v>
      </c>
      <c r="P48" s="82">
        <v>957.08705999999995</v>
      </c>
      <c r="Q48" s="82">
        <v>959.25041599999997</v>
      </c>
      <c r="R48" s="82">
        <v>1008.34124</v>
      </c>
      <c r="S48" s="82">
        <v>1121.613822</v>
      </c>
      <c r="T48" s="82">
        <v>1360.8623719992399</v>
      </c>
      <c r="U48" s="82">
        <v>987.07682399999999</v>
      </c>
      <c r="V48" s="82">
        <v>1026.89249</v>
      </c>
      <c r="W48" s="82">
        <v>1265.5864782000001</v>
      </c>
      <c r="X48" s="82">
        <v>1433.9848433</v>
      </c>
      <c r="Y48" s="82">
        <v>1402.650412</v>
      </c>
      <c r="Z48" s="82">
        <v>1293.0252105</v>
      </c>
      <c r="AA48" s="82">
        <v>1386.3565635980001</v>
      </c>
    </row>
    <row r="49" spans="1:27">
      <c r="C49" s="14"/>
      <c r="D49" s="12" t="s">
        <v>74</v>
      </c>
      <c r="E49" s="114" t="s">
        <v>269</v>
      </c>
      <c r="F49" s="82">
        <v>2259.2539999999999</v>
      </c>
      <c r="G49" s="82">
        <v>2166.2482140740699</v>
      </c>
      <c r="H49" s="82">
        <v>2112.1647865</v>
      </c>
      <c r="I49" s="82">
        <v>1941.2940979</v>
      </c>
      <c r="J49" s="82">
        <v>2190.7713832776099</v>
      </c>
      <c r="K49" s="82">
        <v>2380.2946400000001</v>
      </c>
      <c r="L49" s="82">
        <v>2489.670325</v>
      </c>
      <c r="M49" s="82">
        <v>2542.0837750000001</v>
      </c>
      <c r="N49" s="82">
        <v>3186.0233189999999</v>
      </c>
      <c r="O49" s="82">
        <v>2810.3635039999999</v>
      </c>
      <c r="P49" s="82">
        <v>2728.5265979999999</v>
      </c>
      <c r="Q49" s="82">
        <v>2638.574259</v>
      </c>
      <c r="R49" s="82">
        <v>2570.154712</v>
      </c>
      <c r="S49" s="82">
        <v>2827.8611780000001</v>
      </c>
      <c r="T49" s="82">
        <v>2981.710106</v>
      </c>
      <c r="U49" s="82">
        <v>3091.1296142000001</v>
      </c>
      <c r="V49" s="82">
        <v>3016.5754280000001</v>
      </c>
      <c r="W49" s="82">
        <v>2850.3992058757699</v>
      </c>
      <c r="X49" s="82">
        <v>2651.4568494</v>
      </c>
      <c r="Y49" s="82">
        <v>2932.9811158000002</v>
      </c>
      <c r="Z49" s="82">
        <v>2774.9030401</v>
      </c>
      <c r="AA49" s="82">
        <v>2877.3172970000001</v>
      </c>
    </row>
    <row r="50" spans="1:27">
      <c r="C50" s="14"/>
      <c r="D50" s="12" t="s">
        <v>75</v>
      </c>
      <c r="E50" s="114" t="s">
        <v>269</v>
      </c>
      <c r="F50" s="82">
        <v>1133.2335</v>
      </c>
      <c r="G50" s="82">
        <v>1517.49439856</v>
      </c>
      <c r="H50" s="82">
        <v>1297.73718125</v>
      </c>
      <c r="I50" s="82">
        <v>1221.0840900000001</v>
      </c>
      <c r="J50" s="82">
        <v>1280.9096715818</v>
      </c>
      <c r="K50" s="82">
        <v>1523.7648099999999</v>
      </c>
      <c r="L50" s="82">
        <v>889.02095299999996</v>
      </c>
      <c r="M50" s="82">
        <v>823.31310399999995</v>
      </c>
      <c r="N50" s="82">
        <v>1233.9257970000001</v>
      </c>
      <c r="O50" s="82">
        <v>1261.9140910000001</v>
      </c>
      <c r="P50" s="82">
        <v>1212.017257</v>
      </c>
      <c r="Q50" s="82">
        <v>1119.851085</v>
      </c>
      <c r="R50" s="82">
        <v>1321.75458034344</v>
      </c>
      <c r="S50" s="82">
        <v>1908.38257909855</v>
      </c>
      <c r="T50" s="82">
        <v>2174.4742818386298</v>
      </c>
      <c r="U50" s="82">
        <v>2269.0513370301801</v>
      </c>
      <c r="V50" s="82">
        <v>2297.4477206127199</v>
      </c>
      <c r="W50" s="82">
        <v>2286.75559511238</v>
      </c>
      <c r="X50" s="82">
        <v>2091.5767503194102</v>
      </c>
      <c r="Y50" s="82">
        <v>1463.6998977386099</v>
      </c>
      <c r="Z50" s="82">
        <v>1496.8502257021501</v>
      </c>
      <c r="AA50" s="82">
        <v>1433.04468375908</v>
      </c>
    </row>
    <row r="51" spans="1:27">
      <c r="C51" s="12" t="s">
        <v>76</v>
      </c>
      <c r="D51" s="12"/>
      <c r="E51" s="114" t="s">
        <v>269</v>
      </c>
      <c r="F51" s="82">
        <v>377.07821999999999</v>
      </c>
      <c r="G51" s="82">
        <v>343.39748400000002</v>
      </c>
      <c r="H51" s="82">
        <v>346.64658537634398</v>
      </c>
      <c r="I51" s="82">
        <v>415.0715065</v>
      </c>
      <c r="J51" s="82">
        <v>486.36739408453002</v>
      </c>
      <c r="K51" s="82">
        <v>399.83259099999998</v>
      </c>
      <c r="L51" s="82">
        <v>391.52741700000001</v>
      </c>
      <c r="M51" s="82">
        <v>394.326055</v>
      </c>
      <c r="N51" s="82">
        <v>361.22974999999701</v>
      </c>
      <c r="O51" s="82">
        <v>383.48046200000198</v>
      </c>
      <c r="P51" s="82">
        <v>418.25708419999802</v>
      </c>
      <c r="Q51" s="82">
        <v>368.50280600000002</v>
      </c>
      <c r="R51" s="82">
        <v>320.19925699999999</v>
      </c>
      <c r="S51" s="82">
        <v>333.01272699999998</v>
      </c>
      <c r="T51" s="82">
        <v>315.55755499999998</v>
      </c>
      <c r="U51" s="82">
        <v>392.293927</v>
      </c>
      <c r="V51" s="82">
        <v>448.56798300000003</v>
      </c>
      <c r="W51" s="82">
        <v>534.75439439116303</v>
      </c>
      <c r="X51" s="82">
        <v>576.74867700000004</v>
      </c>
      <c r="Y51" s="82">
        <v>457.57837979999999</v>
      </c>
      <c r="Z51" s="82">
        <v>393.45218299073201</v>
      </c>
      <c r="AA51" s="82">
        <v>422.50982503999899</v>
      </c>
    </row>
    <row r="52" spans="1:27">
      <c r="C52" s="12" t="s">
        <v>43</v>
      </c>
      <c r="D52" s="12"/>
      <c r="E52" s="114" t="s">
        <v>269</v>
      </c>
      <c r="F52" s="82">
        <v>13910.753220000001</v>
      </c>
      <c r="G52" s="82">
        <v>14588.642777503699</v>
      </c>
      <c r="H52" s="82">
        <v>14195.532779123299</v>
      </c>
      <c r="I52" s="82">
        <v>14379.4010706301</v>
      </c>
      <c r="J52" s="82">
        <v>14589.5885867815</v>
      </c>
      <c r="K52" s="82">
        <v>15157.1684981297</v>
      </c>
      <c r="L52" s="82">
        <v>13313.687670109501</v>
      </c>
      <c r="M52" s="82">
        <v>14418.4963941644</v>
      </c>
      <c r="N52" s="82">
        <v>14981.0727118541</v>
      </c>
      <c r="O52" s="82">
        <v>13948.6608954851</v>
      </c>
      <c r="P52" s="82">
        <v>13618.2836333501</v>
      </c>
      <c r="Q52" s="82">
        <v>14366.84397036</v>
      </c>
      <c r="R52" s="82">
        <v>14929.0625027765</v>
      </c>
      <c r="S52" s="82">
        <v>16346.0479855126</v>
      </c>
      <c r="T52" s="82">
        <v>17688.970249761798</v>
      </c>
      <c r="U52" s="82">
        <v>17580.0081394689</v>
      </c>
      <c r="V52" s="82">
        <v>17141.698521194601</v>
      </c>
      <c r="W52" s="82">
        <v>17591.857116803101</v>
      </c>
      <c r="X52" s="82">
        <v>16765.7355595437</v>
      </c>
      <c r="Y52" s="82">
        <v>14924.175019187</v>
      </c>
      <c r="Z52" s="82">
        <v>13953.4501098542</v>
      </c>
      <c r="AA52" s="82">
        <v>13855.309836780199</v>
      </c>
    </row>
    <row r="53" spans="1:27">
      <c r="A53" s="12"/>
      <c r="B53" s="12"/>
      <c r="C53" s="12"/>
      <c r="E53" s="61"/>
      <c r="F53" s="82"/>
      <c r="G53" s="82"/>
      <c r="H53" s="82"/>
      <c r="I53" s="82"/>
      <c r="J53" s="82"/>
      <c r="K53" s="82"/>
      <c r="L53" s="82"/>
      <c r="M53" s="82"/>
      <c r="N53" s="82"/>
      <c r="O53" s="82"/>
      <c r="P53" s="82"/>
      <c r="Q53" s="82"/>
      <c r="R53" s="82"/>
      <c r="S53" s="82"/>
      <c r="T53" s="82"/>
      <c r="U53" s="82"/>
      <c r="V53" s="82"/>
      <c r="W53" s="82"/>
      <c r="X53" s="82"/>
      <c r="Y53" s="82"/>
      <c r="Z53" s="82"/>
      <c r="AA53" s="82"/>
    </row>
    <row r="54" spans="1:27">
      <c r="A54" s="131" t="s">
        <v>372</v>
      </c>
      <c r="B54" s="12"/>
      <c r="C54" s="12"/>
      <c r="E54" s="61"/>
      <c r="F54" s="82"/>
      <c r="G54" s="82"/>
      <c r="H54" s="82"/>
      <c r="I54" s="82"/>
      <c r="J54" s="82"/>
      <c r="K54" s="82"/>
      <c r="L54" s="82"/>
      <c r="M54" s="82"/>
      <c r="N54" s="82"/>
      <c r="O54" s="82"/>
      <c r="P54" s="82"/>
      <c r="Q54" s="82"/>
      <c r="R54" s="82"/>
      <c r="S54" s="82"/>
      <c r="T54" s="82"/>
      <c r="U54" s="82"/>
      <c r="V54" s="82"/>
      <c r="W54" s="82"/>
      <c r="X54" s="82"/>
      <c r="Y54" s="82"/>
      <c r="Z54" s="82"/>
      <c r="AA54" s="82"/>
    </row>
    <row r="55" spans="1:27">
      <c r="B55" s="12" t="s">
        <v>365</v>
      </c>
      <c r="C55" s="12"/>
      <c r="E55" s="114" t="s">
        <v>269</v>
      </c>
      <c r="F55" s="82">
        <v>12252.718538073501</v>
      </c>
      <c r="G55" s="82">
        <v>12764.457619749001</v>
      </c>
      <c r="H55" s="82">
        <v>12714.040535820501</v>
      </c>
      <c r="I55" s="82">
        <v>12796.021841440601</v>
      </c>
      <c r="J55" s="82">
        <v>12574.5398684959</v>
      </c>
      <c r="K55" s="82">
        <v>12783.702063033499</v>
      </c>
      <c r="L55" s="82">
        <v>11359.4619148245</v>
      </c>
      <c r="M55" s="82">
        <v>12155.2404484197</v>
      </c>
      <c r="N55" s="82">
        <v>11352.376546478999</v>
      </c>
      <c r="O55" s="82">
        <v>10567.8668603766</v>
      </c>
      <c r="P55" s="82">
        <v>10291.696338850101</v>
      </c>
      <c r="Q55" s="82">
        <v>11250.617708694999</v>
      </c>
      <c r="R55" s="82">
        <v>11764.520995187801</v>
      </c>
      <c r="S55" s="82">
        <v>12310.2896388881</v>
      </c>
      <c r="T55" s="82">
        <v>13346.337507497399</v>
      </c>
      <c r="U55" s="82">
        <v>13523.1027108212</v>
      </c>
      <c r="V55" s="82">
        <v>12863.9430286807</v>
      </c>
      <c r="W55" s="82">
        <v>12569.0804800763</v>
      </c>
      <c r="X55" s="82">
        <v>12065.7389818828</v>
      </c>
      <c r="Y55" s="82">
        <v>10660.3950749168</v>
      </c>
      <c r="Z55" s="82">
        <v>9770.2014259938696</v>
      </c>
      <c r="AA55" s="82">
        <v>9242.8538520341899</v>
      </c>
    </row>
    <row r="56" spans="1:27">
      <c r="B56" s="12" t="s">
        <v>73</v>
      </c>
      <c r="C56" s="12"/>
      <c r="E56" s="61"/>
      <c r="F56" s="82"/>
      <c r="G56" s="82"/>
      <c r="H56" s="82"/>
      <c r="I56" s="82"/>
      <c r="J56" s="82"/>
      <c r="K56" s="82"/>
      <c r="L56" s="82"/>
      <c r="M56" s="82"/>
      <c r="N56" s="82"/>
      <c r="O56" s="82"/>
      <c r="P56" s="82"/>
      <c r="Q56" s="82"/>
      <c r="R56" s="82"/>
      <c r="S56" s="82"/>
      <c r="T56" s="82"/>
      <c r="U56" s="82"/>
      <c r="V56" s="82"/>
      <c r="W56" s="82"/>
      <c r="X56" s="82"/>
      <c r="Y56" s="82"/>
      <c r="Z56" s="82"/>
      <c r="AA56" s="82"/>
    </row>
    <row r="57" spans="1:27">
      <c r="B57" s="14"/>
      <c r="C57" s="12" t="s">
        <v>366</v>
      </c>
      <c r="E57" s="114" t="s">
        <v>269</v>
      </c>
      <c r="F57" s="82">
        <v>1603.3384100000001</v>
      </c>
      <c r="G57" s="82">
        <v>1470.80404658815</v>
      </c>
      <c r="H57" s="82">
        <v>1349.2350652499999</v>
      </c>
      <c r="I57" s="82">
        <v>1439.5576613999999</v>
      </c>
      <c r="J57" s="82">
        <v>1175.52044981689</v>
      </c>
      <c r="K57" s="82">
        <v>1251.19922</v>
      </c>
      <c r="L57" s="82">
        <v>1013.74493</v>
      </c>
      <c r="M57" s="82">
        <v>1165.1690100000001</v>
      </c>
      <c r="N57" s="82">
        <v>1234.3797546666699</v>
      </c>
      <c r="O57" s="82">
        <v>1233.1428940000001</v>
      </c>
      <c r="P57" s="82">
        <v>983.97827600000005</v>
      </c>
      <c r="Q57" s="82">
        <v>986.71250399999997</v>
      </c>
      <c r="R57" s="82">
        <v>1033.973236</v>
      </c>
      <c r="S57" s="82">
        <v>1160.916305</v>
      </c>
      <c r="T57" s="82">
        <v>1397.1642459992399</v>
      </c>
      <c r="U57" s="82">
        <v>1023.457722</v>
      </c>
      <c r="V57" s="82">
        <v>1068.003414</v>
      </c>
      <c r="W57" s="82">
        <v>1300.7694772</v>
      </c>
      <c r="X57" s="82">
        <v>1471.3990063000001</v>
      </c>
      <c r="Y57" s="82">
        <v>1454.6186789999999</v>
      </c>
      <c r="Z57" s="82">
        <v>1340.1836475</v>
      </c>
      <c r="AA57" s="82">
        <v>1450.69811182022</v>
      </c>
    </row>
    <row r="58" spans="1:27">
      <c r="B58" s="14"/>
      <c r="C58" s="12" t="s">
        <v>74</v>
      </c>
      <c r="E58" s="114" t="s">
        <v>269</v>
      </c>
      <c r="F58" s="82">
        <v>3229.56585</v>
      </c>
      <c r="G58" s="82">
        <v>3143.0977918518502</v>
      </c>
      <c r="H58" s="82">
        <v>3065.8097865</v>
      </c>
      <c r="I58" s="82">
        <v>2734.5930979</v>
      </c>
      <c r="J58" s="82">
        <v>3070.9865326519998</v>
      </c>
      <c r="K58" s="82">
        <v>3288.2846399999999</v>
      </c>
      <c r="L58" s="82">
        <v>3442.599095</v>
      </c>
      <c r="M58" s="82">
        <v>3407.6187749999999</v>
      </c>
      <c r="N58" s="82">
        <v>4057.1993189999998</v>
      </c>
      <c r="O58" s="82">
        <v>3695.8045040000002</v>
      </c>
      <c r="P58" s="82">
        <v>3611.1002520000002</v>
      </c>
      <c r="Q58" s="82">
        <v>3485.4042589999999</v>
      </c>
      <c r="R58" s="82">
        <v>3430.1864369999998</v>
      </c>
      <c r="S58" s="82">
        <v>3638.617178</v>
      </c>
      <c r="T58" s="82">
        <v>3776.9671060000001</v>
      </c>
      <c r="U58" s="82">
        <v>3837.4866471</v>
      </c>
      <c r="V58" s="82">
        <v>3805.075378</v>
      </c>
      <c r="W58" s="82">
        <v>3716.3567958757699</v>
      </c>
      <c r="X58" s="82">
        <v>3351.4568494</v>
      </c>
      <c r="Y58" s="82">
        <v>3659.5865057999999</v>
      </c>
      <c r="Z58" s="82">
        <v>3196.5916901000001</v>
      </c>
      <c r="AA58" s="82">
        <v>3203.3616010740702</v>
      </c>
    </row>
    <row r="59" spans="1:27">
      <c r="B59" s="14"/>
      <c r="C59" s="12" t="s">
        <v>75</v>
      </c>
      <c r="E59" s="114" t="s">
        <v>269</v>
      </c>
      <c r="F59" s="82">
        <v>8183.7666799999997</v>
      </c>
      <c r="G59" s="82">
        <v>8582.8717281896297</v>
      </c>
      <c r="H59" s="82">
        <v>9316.5453312499994</v>
      </c>
      <c r="I59" s="82">
        <v>9140.6490900000008</v>
      </c>
      <c r="J59" s="82">
        <v>9617.7506115817996</v>
      </c>
      <c r="K59" s="82">
        <v>10424.88082</v>
      </c>
      <c r="L59" s="82">
        <v>9426.2483730000004</v>
      </c>
      <c r="M59" s="82">
        <v>8282.8590490000006</v>
      </c>
      <c r="N59" s="82">
        <v>9336.3085069999997</v>
      </c>
      <c r="O59" s="82">
        <v>7372.3974918000004</v>
      </c>
      <c r="P59" s="82">
        <v>7344.7402555779299</v>
      </c>
      <c r="Q59" s="82">
        <v>8979.6746282685708</v>
      </c>
      <c r="R59" s="82">
        <v>10532.094579701499</v>
      </c>
      <c r="S59" s="82">
        <v>12483.945562933501</v>
      </c>
      <c r="T59" s="82">
        <v>14186.554431618601</v>
      </c>
      <c r="U59" s="82">
        <v>13975.540413030199</v>
      </c>
      <c r="V59" s="82">
        <v>14235.8564126127</v>
      </c>
      <c r="W59" s="82">
        <v>11141.9359941124</v>
      </c>
      <c r="X59" s="82">
        <v>9385.6139631726492</v>
      </c>
      <c r="Y59" s="82">
        <v>9528.5568725254398</v>
      </c>
      <c r="Z59" s="82">
        <v>9868.3828052219997</v>
      </c>
      <c r="AA59" s="82">
        <v>8659.3624048804504</v>
      </c>
    </row>
    <row r="60" spans="1:27">
      <c r="B60" s="12" t="s">
        <v>76</v>
      </c>
      <c r="C60" s="12"/>
      <c r="E60" s="114" t="s">
        <v>269</v>
      </c>
      <c r="F60" s="82">
        <v>549.63631783766903</v>
      </c>
      <c r="G60" s="82">
        <v>536.72895684392904</v>
      </c>
      <c r="H60" s="82">
        <v>552.72715807660495</v>
      </c>
      <c r="I60" s="82">
        <v>623.333886950291</v>
      </c>
      <c r="J60" s="82">
        <v>753.20859050568004</v>
      </c>
      <c r="K60" s="82">
        <v>619.69109883130102</v>
      </c>
      <c r="L60" s="82">
        <v>556.74901699996997</v>
      </c>
      <c r="M60" s="82">
        <v>551.79197100005001</v>
      </c>
      <c r="N60" s="82">
        <v>551.32765299997698</v>
      </c>
      <c r="O60" s="82">
        <v>627.66845500000204</v>
      </c>
      <c r="P60" s="82">
        <v>640.27092319999804</v>
      </c>
      <c r="Q60" s="82">
        <v>563.64678961537004</v>
      </c>
      <c r="R60" s="82">
        <v>529.18875169230103</v>
      </c>
      <c r="S60" s="82">
        <v>489.24933538499897</v>
      </c>
      <c r="T60" s="82">
        <v>499.1589037</v>
      </c>
      <c r="U60" s="82">
        <v>579.71656900000096</v>
      </c>
      <c r="V60" s="82">
        <v>626.59493099999895</v>
      </c>
      <c r="W60" s="82">
        <v>752.962885391192</v>
      </c>
      <c r="X60" s="82">
        <v>822.94548069919995</v>
      </c>
      <c r="Y60" s="82">
        <v>680.12565554720902</v>
      </c>
      <c r="Z60" s="82">
        <v>673.01945148145205</v>
      </c>
      <c r="AA60" s="82">
        <v>812.81466455852001</v>
      </c>
    </row>
    <row r="61" spans="1:27">
      <c r="A61" s="25"/>
      <c r="B61" s="31" t="s">
        <v>43</v>
      </c>
      <c r="C61" s="31"/>
      <c r="D61" s="25"/>
      <c r="E61" s="115" t="s">
        <v>269</v>
      </c>
      <c r="F61" s="82">
        <v>25819.025795911199</v>
      </c>
      <c r="G61" s="82">
        <v>26497.960143222601</v>
      </c>
      <c r="H61" s="82">
        <v>26998.357876897098</v>
      </c>
      <c r="I61" s="82">
        <v>26734.155577690901</v>
      </c>
      <c r="J61" s="82">
        <v>27192.006053052199</v>
      </c>
      <c r="K61" s="82">
        <v>28367.757841864801</v>
      </c>
      <c r="L61" s="82">
        <v>25798.803329824499</v>
      </c>
      <c r="M61" s="82">
        <v>25562.679253419701</v>
      </c>
      <c r="N61" s="82">
        <v>26531.591780145602</v>
      </c>
      <c r="O61" s="82">
        <v>23496.8802051766</v>
      </c>
      <c r="P61" s="82">
        <v>22871.786045628</v>
      </c>
      <c r="Q61" s="82">
        <v>25266.0558895789</v>
      </c>
      <c r="R61" s="82">
        <v>27289.9639995816</v>
      </c>
      <c r="S61" s="82">
        <v>30083.0180202066</v>
      </c>
      <c r="T61" s="82">
        <v>33206.182201241798</v>
      </c>
      <c r="U61" s="82">
        <v>32939.304061951399</v>
      </c>
      <c r="V61" s="82">
        <v>32599.4731642935</v>
      </c>
      <c r="W61" s="82">
        <v>29481.105632655599</v>
      </c>
      <c r="X61" s="82">
        <v>27097.154281454601</v>
      </c>
      <c r="Y61" s="82">
        <v>25983.282787789401</v>
      </c>
      <c r="Z61" s="91">
        <v>24848.3790202973</v>
      </c>
      <c r="AA61" s="91">
        <v>23369.0906343674</v>
      </c>
    </row>
    <row r="62" spans="1:27" ht="44.15" customHeight="1">
      <c r="F62" s="168" t="s">
        <v>418</v>
      </c>
      <c r="G62" s="168"/>
      <c r="H62" s="168"/>
      <c r="I62" s="168"/>
      <c r="J62" s="168"/>
      <c r="K62" s="168"/>
      <c r="L62" s="168"/>
      <c r="M62" s="168"/>
      <c r="N62" s="168"/>
      <c r="O62" s="168"/>
      <c r="P62" s="168"/>
      <c r="Q62" s="168"/>
      <c r="R62" s="168"/>
      <c r="S62" s="168"/>
      <c r="T62" s="168"/>
      <c r="U62" s="168"/>
      <c r="V62" s="168"/>
      <c r="W62" s="168"/>
      <c r="X62" s="168"/>
      <c r="Y62" s="168"/>
      <c r="Z62" s="168"/>
      <c r="AA62" s="168"/>
    </row>
    <row r="63" spans="1:27" ht="15" customHeight="1">
      <c r="AA63" s="103"/>
    </row>
    <row r="64" spans="1:27">
      <c r="A64" t="s">
        <v>2</v>
      </c>
    </row>
    <row r="65" spans="1:1">
      <c r="A65" t="s">
        <v>2</v>
      </c>
    </row>
    <row r="66" spans="1:1">
      <c r="A66" t="s">
        <v>2</v>
      </c>
    </row>
    <row r="67" spans="1:1">
      <c r="A67" t="s">
        <v>2</v>
      </c>
    </row>
    <row r="68" spans="1:1">
      <c r="A68" t="s">
        <v>2</v>
      </c>
    </row>
    <row r="69" spans="1:1">
      <c r="A69" t="s">
        <v>2</v>
      </c>
    </row>
    <row r="70" spans="1:1">
      <c r="A70" t="s">
        <v>2</v>
      </c>
    </row>
    <row r="71" spans="1:1">
      <c r="A71" t="s">
        <v>2</v>
      </c>
    </row>
    <row r="72" spans="1:1">
      <c r="A72" t="s">
        <v>2</v>
      </c>
    </row>
  </sheetData>
  <mergeCells count="2">
    <mergeCell ref="A2:Y2"/>
    <mergeCell ref="F62:AA62"/>
  </mergeCells>
  <phoneticPr fontId="14" type="noConversion"/>
  <conditionalFormatting sqref="F6:AA61">
    <cfRule type="cellIs" dxfId="56" priority="1" operator="lessThan">
      <formula>0</formula>
    </cfRule>
  </conditionalFormatting>
  <pageMargins left="0.7" right="0.7" top="0.75" bottom="0.75" header="0.3" footer="0.3"/>
  <pageSetup paperSize="9" orientation="portrait" r:id="rId1"/>
  <headerFooter>
    <oddHeader>&amp;C&amp;"Calibri"&amp;12&amp;KFF0000 OFFICIAL&amp;1#_x000D_</oddHeader>
    <oddFooter>&amp;C_x000D_&amp;1#&amp;"Calibri"&amp;12&amp;KFF0000 OFFICIAL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E5165-1614-47D0-BA1A-F981BAFBC3C7}">
  <dimension ref="A1:Z39"/>
  <sheetViews>
    <sheetView zoomScaleNormal="100" workbookViewId="0">
      <pane xSplit="4" topLeftCell="O1" activePane="topRight" state="frozen"/>
      <selection activeCell="A13" sqref="A13:N13"/>
      <selection pane="topRight" activeCell="A13" sqref="A13:N13"/>
    </sheetView>
  </sheetViews>
  <sheetFormatPr defaultColWidth="9.26953125" defaultRowHeight="14.5"/>
  <cols>
    <col min="1" max="2" width="3" customWidth="1"/>
    <col min="3" max="3" width="27.81640625" bestFit="1" customWidth="1"/>
    <col min="4" max="4" width="4.7265625" style="61" bestFit="1" customWidth="1"/>
    <col min="5" max="23" width="7" bestFit="1" customWidth="1"/>
    <col min="24" max="26" width="7.1796875" customWidth="1"/>
  </cols>
  <sheetData>
    <row r="1" spans="1:26" ht="71.25" customHeight="1">
      <c r="A1" t="s">
        <v>2</v>
      </c>
    </row>
    <row r="2" spans="1:26" ht="21">
      <c r="A2" s="162" t="s">
        <v>277</v>
      </c>
      <c r="B2" s="162"/>
      <c r="C2" s="162"/>
      <c r="D2" s="162"/>
      <c r="E2" s="162"/>
      <c r="F2" s="162"/>
      <c r="G2" s="162"/>
      <c r="H2" s="162"/>
      <c r="I2" s="162"/>
      <c r="J2" s="162"/>
      <c r="K2" s="162"/>
      <c r="L2" s="162"/>
      <c r="M2" s="162"/>
      <c r="N2" s="162"/>
      <c r="O2" s="162"/>
      <c r="P2" s="162"/>
      <c r="Q2" s="162"/>
      <c r="R2" s="162"/>
      <c r="S2" s="162"/>
      <c r="T2" s="162"/>
      <c r="U2" s="162"/>
      <c r="V2" s="162"/>
      <c r="W2" s="162"/>
      <c r="X2" s="162"/>
    </row>
    <row r="3" spans="1:26" s="21" customFormat="1" ht="12">
      <c r="A3" s="64" t="s">
        <v>38</v>
      </c>
      <c r="B3" s="64" t="s">
        <v>38</v>
      </c>
      <c r="C3" s="64" t="s">
        <v>38</v>
      </c>
      <c r="D3" s="66" t="s">
        <v>37</v>
      </c>
      <c r="E3" s="64" t="s">
        <v>297</v>
      </c>
      <c r="F3" s="64" t="s">
        <v>298</v>
      </c>
      <c r="G3" s="64" t="s">
        <v>299</v>
      </c>
      <c r="H3" s="64" t="s">
        <v>300</v>
      </c>
      <c r="I3" s="64" t="s">
        <v>281</v>
      </c>
      <c r="J3" s="64" t="s">
        <v>282</v>
      </c>
      <c r="K3" s="64" t="s">
        <v>283</v>
      </c>
      <c r="L3" s="64" t="s">
        <v>284</v>
      </c>
      <c r="M3" s="64" t="s">
        <v>285</v>
      </c>
      <c r="N3" s="64" t="s">
        <v>286</v>
      </c>
      <c r="O3" s="64" t="s">
        <v>287</v>
      </c>
      <c r="P3" s="64" t="s">
        <v>288</v>
      </c>
      <c r="Q3" s="64" t="s">
        <v>289</v>
      </c>
      <c r="R3" s="64" t="s">
        <v>290</v>
      </c>
      <c r="S3" s="64" t="s">
        <v>291</v>
      </c>
      <c r="T3" s="64" t="s">
        <v>292</v>
      </c>
      <c r="U3" s="64" t="s">
        <v>293</v>
      </c>
      <c r="V3" s="64" t="s">
        <v>294</v>
      </c>
      <c r="W3" s="64" t="s">
        <v>295</v>
      </c>
      <c r="X3" s="64" t="s">
        <v>305</v>
      </c>
      <c r="Y3" s="64" t="s">
        <v>326</v>
      </c>
      <c r="Z3" s="64" t="s">
        <v>331</v>
      </c>
    </row>
    <row r="4" spans="1:26">
      <c r="A4" s="19" t="s">
        <v>61</v>
      </c>
      <c r="B4" s="131"/>
      <c r="C4" s="12"/>
    </row>
    <row r="5" spans="1:26">
      <c r="A5" s="133"/>
      <c r="B5" s="14"/>
      <c r="C5" s="12" t="s">
        <v>376</v>
      </c>
      <c r="D5" s="136" t="s">
        <v>47</v>
      </c>
      <c r="E5" s="82">
        <v>277.67076236355899</v>
      </c>
      <c r="F5" s="82">
        <v>288.72275818445797</v>
      </c>
      <c r="G5" s="82">
        <v>297.03081829708202</v>
      </c>
      <c r="H5" s="82">
        <v>305.36018813783301</v>
      </c>
      <c r="I5" s="82">
        <v>285.63161974108903</v>
      </c>
      <c r="J5" s="82">
        <v>306.124953266668</v>
      </c>
      <c r="K5" s="82">
        <v>279.25951358776501</v>
      </c>
      <c r="L5" s="82">
        <v>251.31057990172101</v>
      </c>
      <c r="M5" s="82">
        <v>225.90831565341901</v>
      </c>
      <c r="N5" s="82">
        <v>227.85469077124301</v>
      </c>
      <c r="O5" s="82">
        <v>221.197945448958</v>
      </c>
      <c r="P5" s="82">
        <v>228.19464188175999</v>
      </c>
      <c r="Q5" s="82">
        <v>242.873553624507</v>
      </c>
      <c r="R5" s="82">
        <v>254.16275707219299</v>
      </c>
      <c r="S5" s="82">
        <v>264.83859596237301</v>
      </c>
      <c r="T5" s="82">
        <v>271.36807023794398</v>
      </c>
      <c r="U5" s="82">
        <v>281.29456521250302</v>
      </c>
      <c r="V5" s="82">
        <v>245.03310315064201</v>
      </c>
      <c r="W5" s="82">
        <v>241.24643706880801</v>
      </c>
      <c r="X5" s="82">
        <v>241.538178370049</v>
      </c>
      <c r="Y5" s="82">
        <v>212.97821004287499</v>
      </c>
      <c r="Z5" s="82">
        <v>233.36799879416699</v>
      </c>
    </row>
    <row r="6" spans="1:26">
      <c r="A6" s="133"/>
      <c r="B6" s="14"/>
      <c r="C6" s="12" t="s">
        <v>375</v>
      </c>
      <c r="D6" s="136" t="s">
        <v>47</v>
      </c>
      <c r="E6" s="82">
        <v>348.96936288559999</v>
      </c>
      <c r="F6" s="82">
        <v>366.16091553333302</v>
      </c>
      <c r="G6" s="82">
        <v>437.67441317829901</v>
      </c>
      <c r="H6" s="82">
        <v>457.05742779000002</v>
      </c>
      <c r="I6" s="82">
        <v>487.36166457996399</v>
      </c>
      <c r="J6" s="82">
        <v>566.32986934646999</v>
      </c>
      <c r="K6" s="82">
        <v>579.00056398495701</v>
      </c>
      <c r="L6" s="82">
        <v>516.81871451925304</v>
      </c>
      <c r="M6" s="82">
        <v>575.82440784559003</v>
      </c>
      <c r="N6" s="82">
        <v>413.08574341837698</v>
      </c>
      <c r="O6" s="82">
        <v>390.62614961621199</v>
      </c>
      <c r="P6" s="82">
        <v>517.76211973378997</v>
      </c>
      <c r="Q6" s="82">
        <v>648.49798315394901</v>
      </c>
      <c r="R6" s="82">
        <v>753.94576939127001</v>
      </c>
      <c r="S6" s="82">
        <v>849.31891514769302</v>
      </c>
      <c r="T6" s="82">
        <v>866.37583660240296</v>
      </c>
      <c r="U6" s="82">
        <v>972.66714240235297</v>
      </c>
      <c r="V6" s="82">
        <v>821.15635169291204</v>
      </c>
      <c r="W6" s="82">
        <v>633.02345626236297</v>
      </c>
      <c r="X6" s="82">
        <v>720.37511059694202</v>
      </c>
      <c r="Y6" s="82">
        <v>759.18221398869105</v>
      </c>
      <c r="Z6" s="82">
        <v>641.38625872764499</v>
      </c>
    </row>
    <row r="7" spans="1:26">
      <c r="A7" s="19" t="s">
        <v>42</v>
      </c>
      <c r="B7" s="14"/>
      <c r="C7" s="12"/>
      <c r="D7" s="60"/>
      <c r="E7" s="82"/>
      <c r="F7" s="82"/>
      <c r="G7" s="82"/>
      <c r="H7" s="82"/>
      <c r="I7" s="82"/>
      <c r="J7" s="82"/>
      <c r="K7" s="82"/>
      <c r="L7" s="82"/>
      <c r="M7" s="82"/>
      <c r="N7" s="82"/>
      <c r="O7" s="82"/>
      <c r="P7" s="82"/>
      <c r="Q7" s="82"/>
      <c r="R7" s="82"/>
      <c r="S7" s="82"/>
      <c r="T7" s="82"/>
      <c r="U7" s="82"/>
      <c r="V7" s="82"/>
      <c r="W7" s="82"/>
      <c r="X7" s="82"/>
      <c r="Y7" s="82"/>
      <c r="Z7" s="82"/>
    </row>
    <row r="8" spans="1:26">
      <c r="A8" s="133"/>
      <c r="B8" s="14"/>
      <c r="C8" s="132" t="s">
        <v>334</v>
      </c>
      <c r="D8" s="136" t="s">
        <v>47</v>
      </c>
      <c r="E8" s="82">
        <v>543.31531410272999</v>
      </c>
      <c r="F8" s="82">
        <v>590.39179570049896</v>
      </c>
      <c r="G8" s="82">
        <v>609.17232239303996</v>
      </c>
      <c r="H8" s="82">
        <v>620.11654473983197</v>
      </c>
      <c r="I8" s="82">
        <v>639.31670781820799</v>
      </c>
      <c r="J8" s="82">
        <v>642.92587046780795</v>
      </c>
      <c r="K8" s="82">
        <v>599.30633976681099</v>
      </c>
      <c r="L8" s="82">
        <v>705.56306791983195</v>
      </c>
      <c r="M8" s="82">
        <v>685.78138840777501</v>
      </c>
      <c r="N8" s="82">
        <v>614.06845925809205</v>
      </c>
      <c r="O8" s="82">
        <v>588.68464559548204</v>
      </c>
      <c r="P8" s="82">
        <v>749.88053766240705</v>
      </c>
      <c r="Q8" s="82">
        <v>789.07413527940605</v>
      </c>
      <c r="R8" s="82">
        <v>847.990203252029</v>
      </c>
      <c r="S8" s="82">
        <v>960.70165962142198</v>
      </c>
      <c r="T8" s="82">
        <v>976.12921644195796</v>
      </c>
      <c r="U8" s="82">
        <v>928.69760275203805</v>
      </c>
      <c r="V8" s="82">
        <v>969.58691851912295</v>
      </c>
      <c r="W8" s="82">
        <v>854.34862492499894</v>
      </c>
      <c r="X8" s="82">
        <v>841.929260932582</v>
      </c>
      <c r="Y8" s="82">
        <v>901.46347653937698</v>
      </c>
      <c r="Z8" s="82">
        <v>921.89374793481397</v>
      </c>
    </row>
    <row r="9" spans="1:26">
      <c r="A9" s="133"/>
      <c r="B9" s="14"/>
      <c r="C9" s="132" t="s">
        <v>335</v>
      </c>
      <c r="D9" s="136" t="s">
        <v>47</v>
      </c>
      <c r="E9" s="82">
        <v>22.924986878567999</v>
      </c>
      <c r="F9" s="82">
        <v>23.3221302</v>
      </c>
      <c r="G9" s="82">
        <v>22.467489636108699</v>
      </c>
      <c r="H9" s="82">
        <v>22.10494166938</v>
      </c>
      <c r="I9" s="82">
        <v>19.645877139658001</v>
      </c>
      <c r="J9" s="82">
        <v>20.043390599999999</v>
      </c>
      <c r="K9" s="82">
        <v>19.006508125</v>
      </c>
      <c r="L9" s="82">
        <v>17.125852024158601</v>
      </c>
      <c r="M9" s="82">
        <v>14.707519987335999</v>
      </c>
      <c r="N9" s="82">
        <v>12.4231971768048</v>
      </c>
      <c r="O9" s="82">
        <v>15.8181494040186</v>
      </c>
      <c r="P9" s="82">
        <v>15.016232081857</v>
      </c>
      <c r="Q9" s="82">
        <v>17.293847357631702</v>
      </c>
      <c r="R9" s="82">
        <v>17.312108121772699</v>
      </c>
      <c r="S9" s="82">
        <v>16.9265589242845</v>
      </c>
      <c r="T9" s="82">
        <v>17.191197845016099</v>
      </c>
      <c r="U9" s="82">
        <v>21.626766366346001</v>
      </c>
      <c r="V9" s="82">
        <v>19.198116683286699</v>
      </c>
      <c r="W9" s="82">
        <v>17.773838785272599</v>
      </c>
      <c r="X9" s="82">
        <v>21.364987530774901</v>
      </c>
      <c r="Y9" s="82">
        <v>17.8350438987516</v>
      </c>
      <c r="Z9" s="82">
        <v>17.355737869999999</v>
      </c>
    </row>
    <row r="10" spans="1:26">
      <c r="A10" s="14"/>
      <c r="B10" s="14"/>
      <c r="C10" s="12" t="s">
        <v>336</v>
      </c>
      <c r="D10" s="136" t="s">
        <v>47</v>
      </c>
      <c r="E10" s="82">
        <v>48.974722239560002</v>
      </c>
      <c r="F10" s="82">
        <v>64.328473458131199</v>
      </c>
      <c r="G10" s="82">
        <v>49.242962520250003</v>
      </c>
      <c r="H10" s="82">
        <v>50.668818585570001</v>
      </c>
      <c r="I10" s="82">
        <v>53.394549854943698</v>
      </c>
      <c r="J10" s="82">
        <v>65.998903279925798</v>
      </c>
      <c r="K10" s="82">
        <v>38.499516026363303</v>
      </c>
      <c r="L10" s="82">
        <v>29.0952089154855</v>
      </c>
      <c r="M10" s="82">
        <v>52.325369855627201</v>
      </c>
      <c r="N10" s="82">
        <v>55.465911393600003</v>
      </c>
      <c r="O10" s="82">
        <v>50.039714401577903</v>
      </c>
      <c r="P10" s="82">
        <v>58.127934073303003</v>
      </c>
      <c r="Q10" s="82">
        <v>65.684348632180502</v>
      </c>
      <c r="R10" s="82">
        <v>106.512103944903</v>
      </c>
      <c r="S10" s="82">
        <v>146.55165300970401</v>
      </c>
      <c r="T10" s="82">
        <v>154.922693495766</v>
      </c>
      <c r="U10" s="82">
        <v>172.22157235351699</v>
      </c>
      <c r="V10" s="82">
        <v>148.09289180879</v>
      </c>
      <c r="W10" s="82">
        <v>113.78495741265</v>
      </c>
      <c r="X10" s="82">
        <v>99.388847469323295</v>
      </c>
      <c r="Y10" s="82">
        <v>132.13344141304799</v>
      </c>
      <c r="Z10" s="82">
        <v>100.384586326397</v>
      </c>
    </row>
    <row r="11" spans="1:26">
      <c r="A11" s="134" t="s">
        <v>78</v>
      </c>
      <c r="B11" s="14"/>
      <c r="C11" s="14"/>
      <c r="D11" s="136" t="s">
        <v>47</v>
      </c>
      <c r="E11" s="82">
        <v>43.368771632937701</v>
      </c>
      <c r="F11" s="82">
        <v>49.215484546438198</v>
      </c>
      <c r="G11" s="82">
        <v>54.817763573999997</v>
      </c>
      <c r="H11" s="82">
        <v>45.859730996139099</v>
      </c>
      <c r="I11" s="82">
        <v>52.065874711924003</v>
      </c>
      <c r="J11" s="82">
        <v>54.073332683699803</v>
      </c>
      <c r="K11" s="82">
        <v>57.6982641922298</v>
      </c>
      <c r="L11" s="82">
        <v>58.740295843493698</v>
      </c>
      <c r="M11" s="82">
        <v>63.5615479569855</v>
      </c>
      <c r="N11" s="82">
        <v>72.140480189187898</v>
      </c>
      <c r="O11" s="82">
        <v>44.720636762131697</v>
      </c>
      <c r="P11" s="82">
        <v>48.999403582874301</v>
      </c>
      <c r="Q11" s="82">
        <v>39.353917860137898</v>
      </c>
      <c r="R11" s="82">
        <v>41.981849504457102</v>
      </c>
      <c r="S11" s="82">
        <v>55.711377418754701</v>
      </c>
      <c r="T11" s="82">
        <v>111.27444768309699</v>
      </c>
      <c r="U11" s="82">
        <v>105.536990338271</v>
      </c>
      <c r="V11" s="82">
        <v>56.183953328020699</v>
      </c>
      <c r="W11" s="82">
        <v>63.844018718141299</v>
      </c>
      <c r="X11" s="82">
        <v>64.747546325565594</v>
      </c>
      <c r="Y11" s="82">
        <v>93.248950981834895</v>
      </c>
      <c r="Z11" s="82">
        <v>53.775317558927298</v>
      </c>
    </row>
    <row r="12" spans="1:26">
      <c r="A12" s="131" t="s">
        <v>79</v>
      </c>
      <c r="B12" s="14"/>
      <c r="C12" s="14"/>
      <c r="D12" s="136" t="s">
        <v>47</v>
      </c>
      <c r="E12" s="82">
        <v>55.602633398640002</v>
      </c>
      <c r="F12" s="82">
        <v>52.224684733638902</v>
      </c>
      <c r="G12" s="82">
        <v>49.662330973424403</v>
      </c>
      <c r="H12" s="82">
        <v>53.680607996953697</v>
      </c>
      <c r="I12" s="82">
        <v>44.876693004496097</v>
      </c>
      <c r="J12" s="82">
        <v>45.296106080728997</v>
      </c>
      <c r="K12" s="82">
        <v>38.892366198799998</v>
      </c>
      <c r="L12" s="82">
        <v>44.104859614900001</v>
      </c>
      <c r="M12" s="82">
        <v>48.7045490522667</v>
      </c>
      <c r="N12" s="82">
        <v>50.712869064925002</v>
      </c>
      <c r="O12" s="82">
        <v>39.241605025799998</v>
      </c>
      <c r="P12" s="82">
        <v>40.686011821343797</v>
      </c>
      <c r="Q12" s="82">
        <v>42.972505636000001</v>
      </c>
      <c r="R12" s="82">
        <v>53.3007400413846</v>
      </c>
      <c r="S12" s="82">
        <v>66.911116025110402</v>
      </c>
      <c r="T12" s="82">
        <v>51.518592775599998</v>
      </c>
      <c r="U12" s="82">
        <v>49.937114590710898</v>
      </c>
      <c r="V12" s="82">
        <v>61.220622582895899</v>
      </c>
      <c r="W12" s="82">
        <v>78.958336364230803</v>
      </c>
      <c r="X12" s="82">
        <v>68.444260113082706</v>
      </c>
      <c r="Y12" s="82">
        <v>68.976326692256606</v>
      </c>
      <c r="Z12" s="82">
        <v>89.905763873858504</v>
      </c>
    </row>
    <row r="13" spans="1:26">
      <c r="A13" s="131" t="s">
        <v>80</v>
      </c>
      <c r="B13" s="135"/>
      <c r="C13" s="135"/>
      <c r="D13" s="136" t="s">
        <v>47</v>
      </c>
      <c r="E13" s="82">
        <v>135.01808429776</v>
      </c>
      <c r="F13" s="82">
        <v>136.980492902593</v>
      </c>
      <c r="G13" s="82">
        <v>134.19866458000001</v>
      </c>
      <c r="H13" s="82">
        <v>118.27457339999999</v>
      </c>
      <c r="I13" s="82">
        <v>130.89194552401699</v>
      </c>
      <c r="J13" s="82">
        <v>139.51401423959101</v>
      </c>
      <c r="K13" s="82">
        <v>151.5900570757</v>
      </c>
      <c r="L13" s="82">
        <v>155.87805983050001</v>
      </c>
      <c r="M13" s="82">
        <v>188.88486743035301</v>
      </c>
      <c r="N13" s="82">
        <v>177.82595400617299</v>
      </c>
      <c r="O13" s="82">
        <v>183.695357596847</v>
      </c>
      <c r="P13" s="82">
        <v>181.76868968627701</v>
      </c>
      <c r="Q13" s="82">
        <v>179.511329632529</v>
      </c>
      <c r="R13" s="82">
        <v>194.83921273601001</v>
      </c>
      <c r="S13" s="82">
        <v>209.95723150651801</v>
      </c>
      <c r="T13" s="82">
        <v>219.034183647264</v>
      </c>
      <c r="U13" s="82">
        <v>225.36279685116099</v>
      </c>
      <c r="V13" s="82">
        <v>238.76873471421601</v>
      </c>
      <c r="W13" s="82">
        <v>212.55946495642999</v>
      </c>
      <c r="X13" s="82">
        <v>227.61688603672499</v>
      </c>
      <c r="Y13" s="82">
        <v>225.74311282989299</v>
      </c>
      <c r="Z13" s="82">
        <v>225.97774126918901</v>
      </c>
    </row>
    <row r="14" spans="1:26">
      <c r="A14" s="131" t="s">
        <v>374</v>
      </c>
      <c r="B14" s="14"/>
      <c r="C14" s="132"/>
      <c r="D14" s="136" t="s">
        <v>47</v>
      </c>
      <c r="E14" s="82">
        <v>1475.84463779935</v>
      </c>
      <c r="F14" s="82">
        <v>1571.3467352590901</v>
      </c>
      <c r="G14" s="82">
        <v>1654.2667651521999</v>
      </c>
      <c r="H14" s="82">
        <v>1673.1228333157101</v>
      </c>
      <c r="I14" s="82">
        <v>1713.1849323742999</v>
      </c>
      <c r="J14" s="82">
        <v>1840.3064399648899</v>
      </c>
      <c r="K14" s="82">
        <v>1763.25312895763</v>
      </c>
      <c r="L14" s="82">
        <v>1778.63663856934</v>
      </c>
      <c r="M14" s="82">
        <v>1855.6979661893499</v>
      </c>
      <c r="N14" s="82">
        <v>1623.5773052784</v>
      </c>
      <c r="O14" s="82">
        <v>1534.0242038510301</v>
      </c>
      <c r="P14" s="82">
        <v>1840.4355705236101</v>
      </c>
      <c r="Q14" s="82">
        <v>2025.26162117634</v>
      </c>
      <c r="R14" s="82">
        <v>2270.0447440640201</v>
      </c>
      <c r="S14" s="82">
        <v>2570.91710761586</v>
      </c>
      <c r="T14" s="82">
        <v>2667.81423872905</v>
      </c>
      <c r="U14" s="82">
        <v>2757.3445508669001</v>
      </c>
      <c r="V14" s="82">
        <v>2559.2406924798902</v>
      </c>
      <c r="W14" s="82">
        <v>2215.5391344928998</v>
      </c>
      <c r="X14" s="82">
        <v>2285.40507737504</v>
      </c>
      <c r="Y14" s="82">
        <v>2411.5607763867301</v>
      </c>
      <c r="Z14" s="82">
        <v>2284.047152355</v>
      </c>
    </row>
    <row r="15" spans="1:26">
      <c r="A15" s="133"/>
      <c r="B15" s="12"/>
      <c r="C15" s="132"/>
      <c r="D15" s="60"/>
      <c r="E15" s="82"/>
      <c r="F15" s="82"/>
      <c r="G15" s="82"/>
      <c r="H15" s="82"/>
      <c r="I15" s="82"/>
      <c r="J15" s="82"/>
      <c r="K15" s="82"/>
      <c r="L15" s="82"/>
      <c r="M15" s="82"/>
      <c r="N15" s="82"/>
      <c r="O15" s="82"/>
      <c r="P15" s="82"/>
      <c r="Q15" s="82"/>
      <c r="R15" s="82"/>
      <c r="S15" s="82"/>
      <c r="T15" s="82"/>
      <c r="U15" s="82"/>
      <c r="V15" s="82"/>
      <c r="W15" s="82"/>
      <c r="X15" s="82"/>
      <c r="Y15" s="82"/>
      <c r="Z15" s="82"/>
    </row>
    <row r="16" spans="1:26">
      <c r="A16" s="131" t="s">
        <v>27</v>
      </c>
      <c r="C16" s="132"/>
      <c r="D16" s="60"/>
      <c r="E16" s="82"/>
      <c r="F16" s="82"/>
      <c r="G16" s="82"/>
      <c r="H16" s="82"/>
      <c r="I16" s="82"/>
      <c r="J16" s="82"/>
      <c r="K16" s="82"/>
      <c r="L16" s="82"/>
      <c r="M16" s="82"/>
      <c r="N16" s="82"/>
      <c r="O16" s="82"/>
      <c r="P16" s="82"/>
      <c r="Q16" s="82"/>
      <c r="R16" s="82"/>
      <c r="S16" s="82"/>
      <c r="T16" s="82"/>
      <c r="U16" s="82"/>
      <c r="V16" s="82"/>
      <c r="W16" s="82"/>
      <c r="X16" s="82"/>
      <c r="Y16" s="82"/>
      <c r="Z16" s="82"/>
    </row>
    <row r="17" spans="1:26">
      <c r="A17" s="133"/>
      <c r="B17" s="131" t="s">
        <v>61</v>
      </c>
      <c r="C17" s="132"/>
      <c r="D17" s="60"/>
      <c r="E17" s="82"/>
      <c r="F17" s="82"/>
      <c r="G17" s="82"/>
      <c r="H17" s="82"/>
      <c r="I17" s="82"/>
      <c r="J17" s="82"/>
      <c r="K17" s="82"/>
      <c r="L17" s="82"/>
      <c r="M17" s="82"/>
      <c r="N17" s="82"/>
      <c r="O17" s="82"/>
      <c r="P17" s="82"/>
      <c r="Q17" s="82"/>
      <c r="R17" s="82"/>
      <c r="S17" s="82"/>
      <c r="T17" s="82"/>
      <c r="U17" s="82"/>
      <c r="V17" s="82"/>
      <c r="W17" s="82"/>
      <c r="X17" s="82"/>
      <c r="Y17" s="82"/>
      <c r="Z17" s="82"/>
    </row>
    <row r="18" spans="1:26">
      <c r="A18" s="133"/>
      <c r="B18" s="132"/>
      <c r="C18" s="132" t="s">
        <v>377</v>
      </c>
      <c r="D18" s="136" t="s">
        <v>47</v>
      </c>
      <c r="E18" s="82">
        <v>617.42574886449904</v>
      </c>
      <c r="F18" s="82">
        <v>630.52298990194004</v>
      </c>
      <c r="G18" s="82">
        <v>639.65675281358199</v>
      </c>
      <c r="H18" s="82">
        <v>588.37234002783305</v>
      </c>
      <c r="I18" s="82">
        <v>570.35616179038402</v>
      </c>
      <c r="J18" s="82">
        <v>635.46805477549105</v>
      </c>
      <c r="K18" s="82">
        <v>581.48679074816596</v>
      </c>
      <c r="L18" s="82">
        <v>510.37071557364402</v>
      </c>
      <c r="M18" s="82">
        <v>483.68516581345199</v>
      </c>
      <c r="N18" s="82">
        <v>394.49888253383102</v>
      </c>
      <c r="O18" s="82">
        <v>338.29610482000902</v>
      </c>
      <c r="P18" s="82">
        <v>350.84197006941298</v>
      </c>
      <c r="Q18" s="82">
        <v>355.84258243576301</v>
      </c>
      <c r="R18" s="82">
        <v>370.59009427747799</v>
      </c>
      <c r="S18" s="82">
        <v>396.13920056132201</v>
      </c>
      <c r="T18" s="82">
        <v>386.40642619219</v>
      </c>
      <c r="U18" s="82">
        <v>382.50829925961199</v>
      </c>
      <c r="V18" s="82">
        <v>356.45995488160401</v>
      </c>
      <c r="W18" s="82">
        <v>311.22073140075099</v>
      </c>
      <c r="X18" s="82">
        <v>350.17320090670103</v>
      </c>
      <c r="Y18" s="82">
        <v>256.58005257907303</v>
      </c>
      <c r="Z18" s="82">
        <v>256.59220571582102</v>
      </c>
    </row>
    <row r="19" spans="1:26">
      <c r="A19" s="133"/>
      <c r="B19" s="132"/>
      <c r="C19" s="132" t="s">
        <v>378</v>
      </c>
      <c r="D19" s="136" t="s">
        <v>47</v>
      </c>
      <c r="E19" s="82">
        <v>80.980478888660002</v>
      </c>
      <c r="F19" s="82">
        <v>101.504082057926</v>
      </c>
      <c r="G19" s="82">
        <v>171.693951821799</v>
      </c>
      <c r="H19" s="82">
        <v>237.15225319999999</v>
      </c>
      <c r="I19" s="82">
        <v>272.874207722449</v>
      </c>
      <c r="J19" s="82">
        <v>311.25053414646999</v>
      </c>
      <c r="K19" s="82">
        <v>354.81685092455598</v>
      </c>
      <c r="L19" s="82">
        <v>345.40991920765299</v>
      </c>
      <c r="M19" s="82">
        <v>412.66718144254202</v>
      </c>
      <c r="N19" s="82">
        <v>350.44573236323703</v>
      </c>
      <c r="O19" s="82">
        <v>356.85493031856703</v>
      </c>
      <c r="P19" s="82">
        <v>471.18735487330702</v>
      </c>
      <c r="Q19" s="82">
        <v>605.540200048261</v>
      </c>
      <c r="R19" s="82">
        <v>705.73457726598497</v>
      </c>
      <c r="S19" s="82">
        <v>802.19824265657803</v>
      </c>
      <c r="T19" s="82">
        <v>850.98410554427505</v>
      </c>
      <c r="U19" s="82">
        <v>969.39822604459505</v>
      </c>
      <c r="V19" s="82">
        <v>791.20705055282701</v>
      </c>
      <c r="W19" s="82">
        <v>646.77500550587797</v>
      </c>
      <c r="X19" s="82">
        <v>708.10542032958006</v>
      </c>
      <c r="Y19" s="82">
        <v>798.65291044533797</v>
      </c>
      <c r="Z19" s="82">
        <v>655.53483162562804</v>
      </c>
    </row>
    <row r="20" spans="1:26">
      <c r="A20" s="133"/>
      <c r="B20" s="134" t="s">
        <v>379</v>
      </c>
      <c r="C20" s="14"/>
      <c r="D20" s="136" t="s">
        <v>47</v>
      </c>
      <c r="E20" s="82">
        <v>698.40622775315899</v>
      </c>
      <c r="F20" s="82">
        <v>732.02707195986602</v>
      </c>
      <c r="G20" s="82">
        <v>811.35070463538102</v>
      </c>
      <c r="H20" s="82">
        <v>825.52459322783295</v>
      </c>
      <c r="I20" s="82">
        <v>843.23036951283302</v>
      </c>
      <c r="J20" s="82">
        <v>946.71858892196099</v>
      </c>
      <c r="K20" s="82">
        <v>936.30364167272205</v>
      </c>
      <c r="L20" s="82">
        <v>855.78063478129695</v>
      </c>
      <c r="M20" s="82">
        <v>896.352347255994</v>
      </c>
      <c r="N20" s="82">
        <v>744.94461489706805</v>
      </c>
      <c r="O20" s="82">
        <v>695.15103513857605</v>
      </c>
      <c r="P20" s="82">
        <v>822.02932494272</v>
      </c>
      <c r="Q20" s="82">
        <v>961.38278248402401</v>
      </c>
      <c r="R20" s="82">
        <v>1076.32467154346</v>
      </c>
      <c r="S20" s="82">
        <v>1198.3374432179</v>
      </c>
      <c r="T20" s="82">
        <v>1237.3905317364699</v>
      </c>
      <c r="U20" s="82">
        <v>1351.9065253042099</v>
      </c>
      <c r="V20" s="82">
        <v>1147.6670054344299</v>
      </c>
      <c r="W20" s="82">
        <v>957.99573690662896</v>
      </c>
      <c r="X20" s="82">
        <v>1058.2786212362801</v>
      </c>
      <c r="Y20" s="82">
        <v>1055.2329630244101</v>
      </c>
      <c r="Z20" s="82">
        <v>912.12703734144895</v>
      </c>
    </row>
    <row r="21" spans="1:26">
      <c r="A21" s="133"/>
      <c r="B21" s="131" t="s">
        <v>42</v>
      </c>
      <c r="C21" s="132"/>
      <c r="E21" s="82"/>
      <c r="F21" s="82"/>
      <c r="G21" s="82"/>
      <c r="H21" s="82"/>
      <c r="I21" s="82"/>
      <c r="J21" s="82"/>
      <c r="K21" s="82"/>
      <c r="L21" s="82"/>
      <c r="M21" s="82"/>
      <c r="N21" s="82"/>
      <c r="O21" s="82"/>
      <c r="P21" s="82"/>
      <c r="Q21" s="82"/>
      <c r="R21" s="82"/>
      <c r="S21" s="82"/>
      <c r="T21" s="82"/>
      <c r="U21" s="82"/>
      <c r="V21" s="82"/>
      <c r="W21" s="82"/>
      <c r="X21" s="82"/>
      <c r="Y21" s="82"/>
      <c r="Z21" s="82"/>
    </row>
    <row r="22" spans="1:26">
      <c r="A22" s="133"/>
      <c r="B22" s="131"/>
      <c r="C22" s="132" t="s">
        <v>335</v>
      </c>
      <c r="D22" s="136" t="s">
        <v>47</v>
      </c>
      <c r="E22" s="82">
        <v>22.924986878567999</v>
      </c>
      <c r="F22" s="82">
        <v>23.3221302</v>
      </c>
      <c r="G22" s="82">
        <v>22.467489636108699</v>
      </c>
      <c r="H22" s="82">
        <v>22.10494166938</v>
      </c>
      <c r="I22" s="82">
        <v>19.645877139658001</v>
      </c>
      <c r="J22" s="82">
        <v>20.043390599999999</v>
      </c>
      <c r="K22" s="82">
        <v>19.006508125</v>
      </c>
      <c r="L22" s="82">
        <v>17.125852024158601</v>
      </c>
      <c r="M22" s="82">
        <v>14.707519987335999</v>
      </c>
      <c r="N22" s="82">
        <v>12.4231971768048</v>
      </c>
      <c r="O22" s="82">
        <v>15.8181494040186</v>
      </c>
      <c r="P22" s="82">
        <v>15.016232081857</v>
      </c>
      <c r="Q22" s="82">
        <v>17.293847357631702</v>
      </c>
      <c r="R22" s="82">
        <v>17.312108121772699</v>
      </c>
      <c r="S22" s="82">
        <v>16.9265589242845</v>
      </c>
      <c r="T22" s="82">
        <v>17.191197845016099</v>
      </c>
      <c r="U22" s="82">
        <v>21.626766366346001</v>
      </c>
      <c r="V22" s="82">
        <v>19.198116683286699</v>
      </c>
      <c r="W22" s="82">
        <v>17.773838785272599</v>
      </c>
      <c r="X22" s="82">
        <v>21.364987530774901</v>
      </c>
      <c r="Y22" s="82">
        <v>17.8350438987516</v>
      </c>
      <c r="Z22" s="82">
        <v>17.355737869999999</v>
      </c>
    </row>
    <row r="23" spans="1:26">
      <c r="A23" s="133"/>
      <c r="B23" s="131"/>
      <c r="C23" s="132" t="s">
        <v>77</v>
      </c>
      <c r="D23" s="136" t="s">
        <v>47</v>
      </c>
      <c r="E23" s="82">
        <v>754.51342316762805</v>
      </c>
      <c r="F23" s="82">
        <v>815.99753309922505</v>
      </c>
      <c r="G23" s="82">
        <v>820.44857088071433</v>
      </c>
      <c r="H23" s="82">
        <v>825.49329841849499</v>
      </c>
      <c r="I23" s="82">
        <v>850.30868572180702</v>
      </c>
      <c r="J23" s="82">
        <v>873.54446044293002</v>
      </c>
      <c r="K23" s="82">
        <v>807.94297915990398</v>
      </c>
      <c r="L23" s="82">
        <v>905.73015176388947</v>
      </c>
      <c r="M23" s="82">
        <v>944.63809894602196</v>
      </c>
      <c r="N23" s="82">
        <v>866.20949320452917</v>
      </c>
      <c r="O23" s="82">
        <v>823.05501930843332</v>
      </c>
      <c r="P23" s="82">
        <v>1003.390013499033</v>
      </c>
      <c r="Q23" s="82">
        <v>1046.5849913346883</v>
      </c>
      <c r="R23" s="82">
        <v>1176.4079643987873</v>
      </c>
      <c r="S23" s="82">
        <v>1355.6531054736754</v>
      </c>
      <c r="T23" s="82">
        <v>1413.2325091475639</v>
      </c>
      <c r="U23" s="82">
        <v>1383.8112591963441</v>
      </c>
      <c r="V23" s="82">
        <v>1392.3755703621732</v>
      </c>
      <c r="W23" s="82">
        <v>1239.7695588009974</v>
      </c>
      <c r="X23" s="82">
        <v>1205.7614686079851</v>
      </c>
      <c r="Y23" s="82">
        <v>1338.4927694635585</v>
      </c>
      <c r="Z23" s="82">
        <v>1354.56437714355</v>
      </c>
    </row>
    <row r="24" spans="1:26">
      <c r="A24" s="133"/>
      <c r="B24" s="131" t="s">
        <v>380</v>
      </c>
      <c r="C24" s="132"/>
      <c r="D24" s="136" t="s">
        <v>47</v>
      </c>
      <c r="E24" s="82">
        <v>777.43841004619605</v>
      </c>
      <c r="F24" s="82">
        <v>839.319663299225</v>
      </c>
      <c r="G24" s="82">
        <v>842.91606051682299</v>
      </c>
      <c r="H24" s="82">
        <v>847.59824008787496</v>
      </c>
      <c r="I24" s="82">
        <v>869.95456286146498</v>
      </c>
      <c r="J24" s="82">
        <v>893.58785104292997</v>
      </c>
      <c r="K24" s="82">
        <v>826.94948728490397</v>
      </c>
      <c r="L24" s="82">
        <v>922.85600378804804</v>
      </c>
      <c r="M24" s="82">
        <v>959.34561893335797</v>
      </c>
      <c r="N24" s="82">
        <v>878.63269038133399</v>
      </c>
      <c r="O24" s="82">
        <v>838.87316871245196</v>
      </c>
      <c r="P24" s="82">
        <v>1018.40624558089</v>
      </c>
      <c r="Q24" s="82">
        <v>1063.87883869232</v>
      </c>
      <c r="R24" s="82">
        <v>1193.7200725205601</v>
      </c>
      <c r="S24" s="82">
        <v>1372.57966439796</v>
      </c>
      <c r="T24" s="82">
        <v>1430.42370699258</v>
      </c>
      <c r="U24" s="82">
        <v>1405.43802556269</v>
      </c>
      <c r="V24" s="82">
        <v>1411.57368704546</v>
      </c>
      <c r="W24" s="82">
        <v>1257.54339758627</v>
      </c>
      <c r="X24" s="82">
        <v>1227.12645613876</v>
      </c>
      <c r="Y24" s="82">
        <v>1356.3278133623101</v>
      </c>
      <c r="Z24" s="82">
        <v>1371.92011501355</v>
      </c>
    </row>
    <row r="25" spans="1:26">
      <c r="A25" s="131" t="s">
        <v>381</v>
      </c>
      <c r="B25" s="14"/>
      <c r="C25" s="132"/>
      <c r="D25" s="136" t="s">
        <v>47</v>
      </c>
      <c r="E25" s="82">
        <v>1475.84463779935</v>
      </c>
      <c r="F25" s="82">
        <v>1571.3467352590901</v>
      </c>
      <c r="G25" s="82">
        <v>1654.2667651521999</v>
      </c>
      <c r="H25" s="82">
        <v>1673.1228333157101</v>
      </c>
      <c r="I25" s="82">
        <v>1713.1849323742999</v>
      </c>
      <c r="J25" s="82">
        <v>1840.3064399648899</v>
      </c>
      <c r="K25" s="82">
        <v>1763.25312895763</v>
      </c>
      <c r="L25" s="82">
        <v>1778.63663856934</v>
      </c>
      <c r="M25" s="82">
        <v>1855.6979661893499</v>
      </c>
      <c r="N25" s="82">
        <v>1623.5773052784</v>
      </c>
      <c r="O25" s="82">
        <v>1534.0242038510301</v>
      </c>
      <c r="P25" s="82">
        <v>1840.4355705236101</v>
      </c>
      <c r="Q25" s="82">
        <v>2025.26162117634</v>
      </c>
      <c r="R25" s="82">
        <v>2270.0447440640201</v>
      </c>
      <c r="S25" s="82">
        <v>2570.91710761586</v>
      </c>
      <c r="T25" s="82">
        <v>2667.81423872905</v>
      </c>
      <c r="U25" s="82">
        <v>2757.3445508669001</v>
      </c>
      <c r="V25" s="82">
        <v>2559.2406924798902</v>
      </c>
      <c r="W25" s="82">
        <v>2215.5391344928998</v>
      </c>
      <c r="X25" s="82">
        <v>2285.40507737504</v>
      </c>
      <c r="Y25" s="82">
        <v>2411.5607763867301</v>
      </c>
      <c r="Z25" s="82">
        <v>2284.047152355</v>
      </c>
    </row>
    <row r="26" spans="1:26">
      <c r="A26" s="25"/>
      <c r="B26" s="36"/>
      <c r="C26" s="26"/>
      <c r="D26" s="62"/>
      <c r="E26" s="91"/>
      <c r="F26" s="91"/>
      <c r="G26" s="91"/>
      <c r="H26" s="91"/>
      <c r="I26" s="91"/>
      <c r="J26" s="91"/>
      <c r="K26" s="91"/>
      <c r="L26" s="91"/>
      <c r="M26" s="91"/>
      <c r="N26" s="91"/>
      <c r="O26" s="91"/>
      <c r="P26" s="91"/>
      <c r="Q26" s="91"/>
      <c r="R26" s="91"/>
      <c r="S26" s="91"/>
      <c r="T26" s="91"/>
      <c r="U26" s="91"/>
      <c r="V26" s="91"/>
      <c r="W26" s="91"/>
      <c r="X26" s="91"/>
      <c r="Y26" s="91"/>
      <c r="Z26" s="91"/>
    </row>
    <row r="27" spans="1:26" ht="31.5" customHeight="1">
      <c r="E27" s="168" t="s">
        <v>417</v>
      </c>
      <c r="F27" s="168"/>
      <c r="G27" s="168"/>
      <c r="H27" s="168"/>
      <c r="I27" s="168"/>
      <c r="J27" s="168"/>
      <c r="K27" s="168"/>
      <c r="L27" s="168"/>
      <c r="M27" s="168"/>
      <c r="N27" s="168"/>
      <c r="O27" s="168"/>
      <c r="P27" s="168"/>
      <c r="Q27" s="168"/>
      <c r="R27" s="168"/>
      <c r="S27" s="168"/>
      <c r="T27" s="168"/>
      <c r="U27" s="168"/>
      <c r="V27" s="168"/>
      <c r="W27" s="168"/>
      <c r="X27" s="168"/>
      <c r="Y27" s="168"/>
      <c r="Z27" s="168"/>
    </row>
    <row r="28" spans="1:26">
      <c r="A28" t="s">
        <v>2</v>
      </c>
      <c r="Z28" s="103"/>
    </row>
    <row r="29" spans="1:26">
      <c r="A29" t="s">
        <v>2</v>
      </c>
    </row>
    <row r="30" spans="1:26">
      <c r="A30" t="s">
        <v>2</v>
      </c>
      <c r="Z30" s="78"/>
    </row>
    <row r="31" spans="1:26">
      <c r="A31" t="s">
        <v>2</v>
      </c>
    </row>
    <row r="32" spans="1:26">
      <c r="A32" t="s">
        <v>2</v>
      </c>
      <c r="Z32" s="78"/>
    </row>
    <row r="33" spans="1:26">
      <c r="A33" t="s">
        <v>2</v>
      </c>
      <c r="Z33" s="78"/>
    </row>
    <row r="34" spans="1:26">
      <c r="A34" t="s">
        <v>2</v>
      </c>
      <c r="Z34" s="77"/>
    </row>
    <row r="35" spans="1:26">
      <c r="A35" t="s">
        <v>2</v>
      </c>
    </row>
    <row r="36" spans="1:26">
      <c r="A36" t="s">
        <v>2</v>
      </c>
      <c r="Z36" s="77"/>
    </row>
    <row r="38" spans="1:26">
      <c r="Z38" s="80"/>
    </row>
    <row r="39" spans="1:26">
      <c r="Z39" s="80"/>
    </row>
  </sheetData>
  <mergeCells count="2">
    <mergeCell ref="A2:X2"/>
    <mergeCell ref="E27:Z27"/>
  </mergeCells>
  <phoneticPr fontId="14" type="noConversion"/>
  <conditionalFormatting sqref="E5:Z26">
    <cfRule type="cellIs" dxfId="55" priority="1" operator="lessThan">
      <formula>0</formula>
    </cfRule>
  </conditionalFormatting>
  <pageMargins left="0.7" right="0.7" top="0.75" bottom="0.75" header="0.3" footer="0.3"/>
  <pageSetup paperSize="9" orientation="portrait" r:id="rId1"/>
  <headerFooter>
    <oddHeader>&amp;C&amp;"Calibri"&amp;12&amp;KFF0000 OFFICIAL&amp;1#_x000D_</oddHeader>
    <oddFooter>&amp;C_x000D_&amp;1#&amp;"Calibri"&amp;12&amp;KFF0000 OFFICIAL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32E4-1C03-4F36-BA14-CB7716B213BE}">
  <dimension ref="A1:Z85"/>
  <sheetViews>
    <sheetView topLeftCell="A11" zoomScaleNormal="100" workbookViewId="0">
      <pane xSplit="4" topLeftCell="E1" activePane="topRight" state="frozen"/>
      <selection activeCell="A13" sqref="A13:N13"/>
      <selection pane="topRight" activeCell="A13" sqref="A13:N13"/>
    </sheetView>
  </sheetViews>
  <sheetFormatPr defaultColWidth="9.26953125" defaultRowHeight="14.5"/>
  <cols>
    <col min="1" max="2" width="3" customWidth="1"/>
    <col min="3" max="3" width="16.26953125" bestFit="1" customWidth="1"/>
    <col min="4" max="4" width="7.26953125" style="112" bestFit="1" customWidth="1"/>
    <col min="5" max="5" width="9.54296875" bestFit="1" customWidth="1"/>
    <col min="6" max="7" width="10" bestFit="1" customWidth="1"/>
    <col min="8" max="11" width="9.7265625" bestFit="1" customWidth="1"/>
    <col min="12" max="12" width="10" bestFit="1" customWidth="1"/>
    <col min="13" max="13" width="9.54296875" bestFit="1" customWidth="1"/>
    <col min="14" max="15" width="8.7265625" bestFit="1" customWidth="1"/>
    <col min="16" max="17" width="9.1796875" bestFit="1" customWidth="1"/>
    <col min="18" max="21" width="8.81640625" bestFit="1" customWidth="1"/>
    <col min="22" max="22" width="9.1796875" bestFit="1" customWidth="1"/>
    <col min="23" max="24" width="9.54296875" bestFit="1" customWidth="1"/>
    <col min="25" max="27" width="9" customWidth="1"/>
  </cols>
  <sheetData>
    <row r="1" spans="1:26" ht="71.25" customHeight="1">
      <c r="A1" t="s">
        <v>2</v>
      </c>
    </row>
    <row r="2" spans="1:26" ht="21">
      <c r="A2" s="162" t="s">
        <v>276</v>
      </c>
      <c r="B2" s="162"/>
      <c r="C2" s="162"/>
      <c r="D2" s="162"/>
      <c r="E2" s="162"/>
      <c r="F2" s="162"/>
      <c r="G2" s="162"/>
      <c r="H2" s="162"/>
      <c r="I2" s="162"/>
      <c r="J2" s="162"/>
      <c r="K2" s="162"/>
      <c r="L2" s="162"/>
      <c r="M2" s="162"/>
      <c r="N2" s="162"/>
      <c r="O2" s="162"/>
      <c r="P2" s="162"/>
      <c r="Q2" s="162"/>
      <c r="R2" s="162"/>
      <c r="S2" s="162"/>
      <c r="T2" s="162"/>
      <c r="U2" s="162"/>
      <c r="V2" s="162"/>
      <c r="W2" s="162"/>
      <c r="X2" s="162"/>
    </row>
    <row r="3" spans="1:26" s="21" customFormat="1" ht="12">
      <c r="A3" s="64" t="s">
        <v>38</v>
      </c>
      <c r="B3" s="64" t="s">
        <v>38</v>
      </c>
      <c r="C3" s="64" t="s">
        <v>38</v>
      </c>
      <c r="D3" s="113" t="s">
        <v>37</v>
      </c>
      <c r="E3" s="64" t="s">
        <v>297</v>
      </c>
      <c r="F3" s="64" t="s">
        <v>298</v>
      </c>
      <c r="G3" s="64" t="s">
        <v>299</v>
      </c>
      <c r="H3" s="64" t="s">
        <v>300</v>
      </c>
      <c r="I3" s="64" t="s">
        <v>281</v>
      </c>
      <c r="J3" s="64" t="s">
        <v>282</v>
      </c>
      <c r="K3" s="64" t="s">
        <v>283</v>
      </c>
      <c r="L3" s="64" t="s">
        <v>284</v>
      </c>
      <c r="M3" s="64" t="s">
        <v>285</v>
      </c>
      <c r="N3" s="64" t="s">
        <v>286</v>
      </c>
      <c r="O3" s="64" t="s">
        <v>287</v>
      </c>
      <c r="P3" s="64" t="s">
        <v>288</v>
      </c>
      <c r="Q3" s="64" t="s">
        <v>289</v>
      </c>
      <c r="R3" s="64" t="s">
        <v>290</v>
      </c>
      <c r="S3" s="64" t="s">
        <v>291</v>
      </c>
      <c r="T3" s="64" t="s">
        <v>292</v>
      </c>
      <c r="U3" s="64" t="s">
        <v>293</v>
      </c>
      <c r="V3" s="64" t="s">
        <v>294</v>
      </c>
      <c r="W3" s="64" t="s">
        <v>295</v>
      </c>
      <c r="X3" s="64" t="s">
        <v>305</v>
      </c>
      <c r="Y3" s="64" t="s">
        <v>313</v>
      </c>
      <c r="Z3" s="64" t="s">
        <v>328</v>
      </c>
    </row>
    <row r="4" spans="1:26">
      <c r="A4" s="23" t="s">
        <v>81</v>
      </c>
    </row>
    <row r="5" spans="1:26">
      <c r="B5" s="22" t="s">
        <v>266</v>
      </c>
    </row>
    <row r="6" spans="1:26">
      <c r="C6" s="11" t="s">
        <v>387</v>
      </c>
      <c r="D6" s="114" t="s">
        <v>269</v>
      </c>
      <c r="E6" s="82">
        <v>1904.25504146251</v>
      </c>
      <c r="F6" s="82">
        <v>1905.7894817062599</v>
      </c>
      <c r="G6" s="82">
        <v>1845.7084719500101</v>
      </c>
      <c r="H6" s="82">
        <v>1880.972</v>
      </c>
      <c r="I6" s="82">
        <v>1836.3183425782399</v>
      </c>
      <c r="J6" s="82">
        <v>1705.9018654914601</v>
      </c>
      <c r="K6" s="82">
        <v>1440.88403155643</v>
      </c>
      <c r="L6" s="82">
        <v>1355.4583873808399</v>
      </c>
      <c r="M6" s="82">
        <v>1080.32332332293</v>
      </c>
      <c r="N6" s="82">
        <v>1118.98142232293</v>
      </c>
      <c r="O6" s="82">
        <v>913.67767799999797</v>
      </c>
      <c r="P6" s="82">
        <v>877.34772619394096</v>
      </c>
      <c r="Q6" s="82">
        <v>923.968811297191</v>
      </c>
      <c r="R6" s="82">
        <v>876.25655888300798</v>
      </c>
      <c r="S6" s="82">
        <v>957.52776570000105</v>
      </c>
      <c r="T6" s="82">
        <v>977.36200199999996</v>
      </c>
      <c r="U6" s="82">
        <v>944.48746307999897</v>
      </c>
      <c r="V6" s="82">
        <v>629.04641629479897</v>
      </c>
      <c r="W6" s="82">
        <v>399.80207242533299</v>
      </c>
      <c r="X6" s="82">
        <v>622.399791425334</v>
      </c>
      <c r="Y6" s="117">
        <v>657.49241642533104</v>
      </c>
      <c r="Z6" s="117">
        <v>714.30710499999896</v>
      </c>
    </row>
    <row r="7" spans="1:26">
      <c r="C7" s="24" t="s">
        <v>83</v>
      </c>
      <c r="D7" s="114" t="s">
        <v>269</v>
      </c>
      <c r="E7" s="82">
        <v>131.34880000000001</v>
      </c>
      <c r="F7" s="82">
        <v>142.0419</v>
      </c>
      <c r="G7" s="82">
        <v>186.95599999999999</v>
      </c>
      <c r="H7" s="82">
        <v>137.178</v>
      </c>
      <c r="I7" s="82">
        <v>128.75</v>
      </c>
      <c r="J7" s="82">
        <v>228.678</v>
      </c>
      <c r="K7" s="82">
        <v>227.995</v>
      </c>
      <c r="L7" s="82">
        <v>215.84928199999999</v>
      </c>
      <c r="M7" s="82">
        <v>174.135919</v>
      </c>
      <c r="N7" s="82">
        <v>107.915119</v>
      </c>
      <c r="O7" s="82">
        <v>97.933792999999994</v>
      </c>
      <c r="P7" s="82">
        <v>66.264056999999994</v>
      </c>
      <c r="Q7" s="82">
        <v>71.986016000000006</v>
      </c>
      <c r="R7" s="82">
        <v>63.025258000000001</v>
      </c>
      <c r="S7" s="82">
        <v>65.225615000000005</v>
      </c>
      <c r="T7" s="82">
        <v>253.93315100000001</v>
      </c>
      <c r="U7" s="82">
        <v>351.999708</v>
      </c>
      <c r="V7" s="82">
        <v>265.08692100000002</v>
      </c>
      <c r="W7" s="82">
        <v>297.78635500000001</v>
      </c>
      <c r="X7" s="82">
        <v>205.527952</v>
      </c>
      <c r="Y7" s="117">
        <v>179.22255999999999</v>
      </c>
      <c r="Z7" s="117">
        <v>302.80731900000001</v>
      </c>
    </row>
    <row r="8" spans="1:26">
      <c r="C8" s="11" t="s">
        <v>384</v>
      </c>
      <c r="D8" s="114" t="s">
        <v>269</v>
      </c>
      <c r="E8" s="82">
        <v>3304.3687500000001</v>
      </c>
      <c r="F8" s="82">
        <v>3297.8739999999998</v>
      </c>
      <c r="G8" s="82">
        <v>3518.6729999999998</v>
      </c>
      <c r="H8" s="82">
        <v>3634.1379400000001</v>
      </c>
      <c r="I8" s="82">
        <v>3827.18590708899</v>
      </c>
      <c r="J8" s="82">
        <v>4070.8312700000001</v>
      </c>
      <c r="K8" s="82">
        <v>3765.7404514678901</v>
      </c>
      <c r="L8" s="82">
        <v>4324.1563849999902</v>
      </c>
      <c r="M8" s="82">
        <v>4828.0301710000003</v>
      </c>
      <c r="N8" s="82">
        <v>4518.36170419472</v>
      </c>
      <c r="O8" s="82">
        <v>4397.3399572627104</v>
      </c>
      <c r="P8" s="82">
        <v>4447.2907539999997</v>
      </c>
      <c r="Q8" s="82">
        <v>4505.1747779999996</v>
      </c>
      <c r="R8" s="82">
        <v>4650.8656440000004</v>
      </c>
      <c r="S8" s="82">
        <v>4957.2398940000003</v>
      </c>
      <c r="T8" s="82">
        <v>4992.9249980000004</v>
      </c>
      <c r="U8" s="82">
        <v>5084.5488699999996</v>
      </c>
      <c r="V8" s="82">
        <v>5691.6279370000002</v>
      </c>
      <c r="W8" s="82">
        <v>5747.0586569999996</v>
      </c>
      <c r="X8" s="82">
        <v>3927.0926420000001</v>
      </c>
      <c r="Y8" s="117">
        <v>3469.2511839999902</v>
      </c>
      <c r="Z8" s="117">
        <v>3495.9504120000001</v>
      </c>
    </row>
    <row r="9" spans="1:26">
      <c r="C9" s="11" t="s">
        <v>385</v>
      </c>
      <c r="D9" s="114" t="s">
        <v>269</v>
      </c>
      <c r="E9" s="82">
        <v>5339.9725914625096</v>
      </c>
      <c r="F9" s="82">
        <v>5345.7053817062597</v>
      </c>
      <c r="G9" s="82">
        <v>5551.3374719500098</v>
      </c>
      <c r="H9" s="82">
        <v>5652.2879400000002</v>
      </c>
      <c r="I9" s="82">
        <v>5792.2542496672304</v>
      </c>
      <c r="J9" s="82">
        <v>6005.4111354914603</v>
      </c>
      <c r="K9" s="82">
        <v>5434.6194830243203</v>
      </c>
      <c r="L9" s="82">
        <v>5895.46405438084</v>
      </c>
      <c r="M9" s="82">
        <v>6082.48941332293</v>
      </c>
      <c r="N9" s="82">
        <v>5745.2582455176498</v>
      </c>
      <c r="O9" s="82">
        <v>5408.9514282627097</v>
      </c>
      <c r="P9" s="82">
        <v>5390.9025371939397</v>
      </c>
      <c r="Q9" s="82">
        <v>5501.1296052971902</v>
      </c>
      <c r="R9" s="82">
        <v>5590.1474608830104</v>
      </c>
      <c r="S9" s="82">
        <v>5979.9932747000003</v>
      </c>
      <c r="T9" s="82">
        <v>6224.2201510000004</v>
      </c>
      <c r="U9" s="82">
        <v>6381.0360410800004</v>
      </c>
      <c r="V9" s="82">
        <v>6585.7612742948004</v>
      </c>
      <c r="W9" s="82">
        <v>6444.6470844253399</v>
      </c>
      <c r="X9" s="82">
        <v>4755.0203854253296</v>
      </c>
      <c r="Y9" s="117">
        <v>4305.9661604253197</v>
      </c>
      <c r="Z9" s="117">
        <v>4513.0648359999996</v>
      </c>
    </row>
    <row r="10" spans="1:26">
      <c r="A10" t="s">
        <v>2</v>
      </c>
      <c r="E10" s="82"/>
      <c r="F10" s="82"/>
      <c r="G10" s="82"/>
      <c r="H10" s="82"/>
      <c r="I10" s="82"/>
      <c r="J10" s="82"/>
      <c r="K10" s="82"/>
      <c r="L10" s="82"/>
      <c r="M10" s="82"/>
      <c r="N10" s="82"/>
      <c r="O10" s="82"/>
      <c r="P10" s="82"/>
      <c r="Q10" s="82"/>
      <c r="R10" s="82"/>
      <c r="S10" s="82"/>
      <c r="T10" s="82"/>
      <c r="U10" s="82"/>
      <c r="V10" s="82"/>
      <c r="W10" s="82"/>
      <c r="X10" s="82"/>
      <c r="Y10" s="117"/>
      <c r="Z10" s="117"/>
    </row>
    <row r="11" spans="1:26">
      <c r="B11" s="23" t="s">
        <v>63</v>
      </c>
      <c r="E11" s="82"/>
      <c r="F11" s="82"/>
      <c r="G11" s="82"/>
      <c r="H11" s="82"/>
      <c r="I11" s="82"/>
      <c r="J11" s="82"/>
      <c r="K11" s="82"/>
      <c r="L11" s="82"/>
      <c r="M11" s="82"/>
      <c r="N11" s="82"/>
      <c r="O11" s="82"/>
      <c r="P11" s="82"/>
      <c r="Q11" s="82"/>
      <c r="R11" s="82"/>
      <c r="S11" s="82"/>
      <c r="T11" s="82"/>
      <c r="U11" s="82"/>
      <c r="V11" s="82"/>
      <c r="W11" s="82"/>
      <c r="X11" s="82"/>
      <c r="Y11" s="117"/>
      <c r="Z11" s="117"/>
    </row>
    <row r="12" spans="1:26">
      <c r="C12" s="24" t="s">
        <v>82</v>
      </c>
      <c r="D12" s="114" t="s">
        <v>269</v>
      </c>
      <c r="E12" s="82">
        <v>2082.0552499999999</v>
      </c>
      <c r="F12" s="82">
        <v>2027.0312300000001</v>
      </c>
      <c r="G12" s="82">
        <v>2081.3357700000001</v>
      </c>
      <c r="H12" s="82">
        <v>2009.8803700000001</v>
      </c>
      <c r="I12" s="82">
        <v>1811.13641631876</v>
      </c>
      <c r="J12" s="82">
        <v>1995.73209790032</v>
      </c>
      <c r="K12" s="82">
        <v>1778.95086423578</v>
      </c>
      <c r="L12" s="82">
        <v>1859.8583211063799</v>
      </c>
      <c r="M12" s="82">
        <v>1843.535844</v>
      </c>
      <c r="N12" s="82">
        <v>1549.4266364</v>
      </c>
      <c r="O12" s="82">
        <v>1332.05807</v>
      </c>
      <c r="P12" s="82">
        <v>1307.6650400000001</v>
      </c>
      <c r="Q12" s="82">
        <v>1303.62866424149</v>
      </c>
      <c r="R12" s="82">
        <v>1298.448660536</v>
      </c>
      <c r="S12" s="82">
        <v>1305.604615</v>
      </c>
      <c r="T12" s="82">
        <v>1210.7433972727299</v>
      </c>
      <c r="U12" s="82">
        <v>1077.516355</v>
      </c>
      <c r="V12" s="82">
        <v>937.746064610639</v>
      </c>
      <c r="W12" s="82">
        <v>915.90457616316098</v>
      </c>
      <c r="X12" s="82">
        <v>957.01247616316095</v>
      </c>
      <c r="Y12" s="117">
        <v>206.36957616316101</v>
      </c>
      <c r="Z12" s="117">
        <v>26.033999999999999</v>
      </c>
    </row>
    <row r="13" spans="1:26">
      <c r="C13" s="24" t="s">
        <v>83</v>
      </c>
      <c r="D13" s="114" t="s">
        <v>269</v>
      </c>
      <c r="E13" s="82">
        <v>268.52499999999998</v>
      </c>
      <c r="F13" s="82">
        <v>250</v>
      </c>
      <c r="G13" s="82">
        <v>322.53699999999998</v>
      </c>
      <c r="H13" s="82">
        <v>345.721</v>
      </c>
      <c r="I13" s="82">
        <v>342.70599900341</v>
      </c>
      <c r="J13" s="82">
        <v>456.83300000000003</v>
      </c>
      <c r="K13" s="82">
        <v>600.9085</v>
      </c>
      <c r="L13" s="82">
        <v>640.64574000000005</v>
      </c>
      <c r="M13" s="82">
        <v>767.81305999999995</v>
      </c>
      <c r="N13" s="82">
        <v>1689.4397899999999</v>
      </c>
      <c r="O13" s="82">
        <v>1789.28139986715</v>
      </c>
      <c r="P13" s="82">
        <v>2199.5057048835401</v>
      </c>
      <c r="Q13" s="82">
        <v>2834.2555338880402</v>
      </c>
      <c r="R13" s="82">
        <v>2827.1977029411801</v>
      </c>
      <c r="S13" s="82">
        <v>3996.4497249999999</v>
      </c>
      <c r="T13" s="82">
        <v>3577.2115729000002</v>
      </c>
      <c r="U13" s="82">
        <v>3892.5007099999998</v>
      </c>
      <c r="V13" s="82">
        <v>2338.7084229868901</v>
      </c>
      <c r="W13" s="82">
        <v>1985.5483197421299</v>
      </c>
      <c r="X13" s="82">
        <v>2319.3229999999999</v>
      </c>
      <c r="Y13" s="117">
        <v>2954.9604290965999</v>
      </c>
      <c r="Z13" s="117">
        <v>2409.5213123435901</v>
      </c>
    </row>
    <row r="14" spans="1:26">
      <c r="C14" s="24" t="s">
        <v>42</v>
      </c>
      <c r="D14" s="114" t="s">
        <v>269</v>
      </c>
      <c r="E14" s="82">
        <v>3467.9760000000001</v>
      </c>
      <c r="F14" s="82">
        <v>3769.116</v>
      </c>
      <c r="G14" s="82">
        <v>4113.6746000000003</v>
      </c>
      <c r="H14" s="82">
        <v>4128.8029999999999</v>
      </c>
      <c r="I14" s="82">
        <v>4078.9242223289002</v>
      </c>
      <c r="J14" s="82">
        <v>3911.3651681052002</v>
      </c>
      <c r="K14" s="82">
        <v>3890.2795449108798</v>
      </c>
      <c r="L14" s="82">
        <v>3569.5651825909899</v>
      </c>
      <c r="M14" s="82">
        <v>3751.92698018492</v>
      </c>
      <c r="N14" s="82">
        <v>3381.2110991599302</v>
      </c>
      <c r="O14" s="82">
        <v>3559.6304108366699</v>
      </c>
      <c r="P14" s="82">
        <v>3805.9156699999999</v>
      </c>
      <c r="Q14" s="82">
        <v>3928.0894294731902</v>
      </c>
      <c r="R14" s="82">
        <v>4039.56812204057</v>
      </c>
      <c r="S14" s="82">
        <v>4274.4050738134902</v>
      </c>
      <c r="T14" s="82">
        <v>4261.9161160240401</v>
      </c>
      <c r="U14" s="82">
        <v>3888.4835015886201</v>
      </c>
      <c r="V14" s="82">
        <v>3870.0984917416599</v>
      </c>
      <c r="W14" s="82">
        <v>3692.8489368608598</v>
      </c>
      <c r="X14" s="82">
        <v>3540.5693401488202</v>
      </c>
      <c r="Y14" s="117">
        <v>3663.7900006157502</v>
      </c>
      <c r="Z14" s="117">
        <v>3709.0183783922398</v>
      </c>
    </row>
    <row r="15" spans="1:26">
      <c r="C15" s="24" t="s">
        <v>43</v>
      </c>
      <c r="D15" s="114" t="s">
        <v>269</v>
      </c>
      <c r="E15" s="82">
        <v>5818.5562499999996</v>
      </c>
      <c r="F15" s="82">
        <v>6046.1472299999996</v>
      </c>
      <c r="G15" s="82">
        <v>6517.5473700000002</v>
      </c>
      <c r="H15" s="82">
        <v>6484.4043700000002</v>
      </c>
      <c r="I15" s="82">
        <v>6232.7666376510697</v>
      </c>
      <c r="J15" s="82">
        <v>6363.93026600552</v>
      </c>
      <c r="K15" s="82">
        <v>6270.1389091466599</v>
      </c>
      <c r="L15" s="82">
        <v>6070.0692436973804</v>
      </c>
      <c r="M15" s="82">
        <v>6363.27588418492</v>
      </c>
      <c r="N15" s="82">
        <v>6620.0775255599301</v>
      </c>
      <c r="O15" s="82">
        <v>6680.9698807038203</v>
      </c>
      <c r="P15" s="82">
        <v>7313.0864148835399</v>
      </c>
      <c r="Q15" s="82">
        <v>8065.9736276027097</v>
      </c>
      <c r="R15" s="82">
        <v>8165.2144855177403</v>
      </c>
      <c r="S15" s="82">
        <v>9576.4594138134908</v>
      </c>
      <c r="T15" s="82">
        <v>9049.8710861967702</v>
      </c>
      <c r="U15" s="82">
        <v>8858.5005665886201</v>
      </c>
      <c r="V15" s="82">
        <v>7146.5529793391897</v>
      </c>
      <c r="W15" s="82">
        <v>6594.3018327661503</v>
      </c>
      <c r="X15" s="82">
        <v>6816.9048163119796</v>
      </c>
      <c r="Y15" s="117">
        <v>6825.1200058755103</v>
      </c>
      <c r="Z15" s="117">
        <v>6144.5736907358296</v>
      </c>
    </row>
    <row r="16" spans="1:26">
      <c r="A16" t="s">
        <v>2</v>
      </c>
      <c r="E16" s="82"/>
      <c r="F16" s="82"/>
      <c r="G16" s="82"/>
      <c r="H16" s="82"/>
      <c r="I16" s="82"/>
      <c r="J16" s="82"/>
      <c r="K16" s="82"/>
      <c r="L16" s="82"/>
      <c r="M16" s="82"/>
      <c r="N16" s="82"/>
      <c r="O16" s="82"/>
      <c r="P16" s="82"/>
      <c r="Q16" s="82"/>
      <c r="R16" s="82"/>
      <c r="S16" s="82"/>
      <c r="T16" s="82"/>
      <c r="U16" s="82"/>
      <c r="V16" s="82"/>
      <c r="W16" s="82"/>
      <c r="X16" s="82"/>
      <c r="Y16" s="117"/>
      <c r="Z16" s="117"/>
    </row>
    <row r="17" spans="1:26">
      <c r="B17" s="23" t="s">
        <v>64</v>
      </c>
      <c r="E17" s="82"/>
      <c r="F17" s="82"/>
      <c r="G17" s="82"/>
      <c r="H17" s="82"/>
      <c r="I17" s="82"/>
      <c r="J17" s="82"/>
      <c r="K17" s="82"/>
      <c r="L17" s="82"/>
      <c r="M17" s="82"/>
      <c r="N17" s="82"/>
      <c r="O17" s="82"/>
      <c r="P17" s="82"/>
      <c r="Q17" s="82"/>
      <c r="R17" s="82"/>
      <c r="S17" s="82"/>
      <c r="T17" s="82"/>
      <c r="U17" s="82"/>
      <c r="V17" s="82"/>
      <c r="W17" s="82"/>
      <c r="X17" s="82"/>
      <c r="Y17" s="117"/>
      <c r="Z17" s="117"/>
    </row>
    <row r="18" spans="1:26">
      <c r="C18" s="24" t="s">
        <v>82</v>
      </c>
      <c r="D18" s="114" t="s">
        <v>269</v>
      </c>
      <c r="E18" s="82">
        <v>461.07368750000001</v>
      </c>
      <c r="F18" s="82">
        <v>410.92711494999998</v>
      </c>
      <c r="G18" s="82">
        <v>352.17791492422998</v>
      </c>
      <c r="H18" s="82">
        <v>362.46526073362497</v>
      </c>
      <c r="I18" s="82">
        <v>408.23269394816998</v>
      </c>
      <c r="J18" s="82">
        <v>418.78486045269301</v>
      </c>
      <c r="K18" s="82">
        <v>327.69118750858001</v>
      </c>
      <c r="L18" s="82">
        <v>267.370000018062</v>
      </c>
      <c r="M18" s="82">
        <v>275.07151960300001</v>
      </c>
      <c r="N18" s="82">
        <v>276.18651960300002</v>
      </c>
      <c r="O18" s="82">
        <v>255.94800000000001</v>
      </c>
      <c r="P18" s="82">
        <v>268.136765756405</v>
      </c>
      <c r="Q18" s="82">
        <v>258.97810390831597</v>
      </c>
      <c r="R18" s="82">
        <v>284.78585549889698</v>
      </c>
      <c r="S18" s="82">
        <v>292.28031199999998</v>
      </c>
      <c r="T18" s="82">
        <v>278.94371020268301</v>
      </c>
      <c r="U18" s="82">
        <v>292.266567018898</v>
      </c>
      <c r="V18" s="82">
        <v>280.564610960138</v>
      </c>
      <c r="W18" s="82">
        <v>288.523845934262</v>
      </c>
      <c r="X18" s="82">
        <v>287.05339184403698</v>
      </c>
      <c r="Y18" s="117">
        <v>275.111912844036</v>
      </c>
      <c r="Z18" s="117">
        <v>275.61691284403599</v>
      </c>
    </row>
    <row r="19" spans="1:26">
      <c r="C19" s="24" t="s">
        <v>83</v>
      </c>
      <c r="D19" s="114" t="s">
        <v>269</v>
      </c>
      <c r="E19" s="82">
        <v>8.2330000000000005</v>
      </c>
      <c r="F19" s="82">
        <v>0.16500000000000001</v>
      </c>
      <c r="G19" s="82">
        <v>0.05</v>
      </c>
      <c r="H19" s="82">
        <v>2</v>
      </c>
      <c r="I19" s="82">
        <v>0</v>
      </c>
      <c r="J19" s="82">
        <v>0</v>
      </c>
      <c r="K19" s="82">
        <v>0.94099999999999995</v>
      </c>
      <c r="L19" s="82">
        <v>0.65900000000000003</v>
      </c>
      <c r="M19" s="82">
        <v>1.038</v>
      </c>
      <c r="N19" s="82">
        <v>4.806</v>
      </c>
      <c r="O19" s="82">
        <v>2.6789999999999998</v>
      </c>
      <c r="P19" s="82">
        <v>2.4449999999999998</v>
      </c>
      <c r="Q19" s="82">
        <v>25.99982</v>
      </c>
      <c r="R19" s="82">
        <v>13.708</v>
      </c>
      <c r="S19" s="82">
        <v>19.159670923412801</v>
      </c>
      <c r="T19" s="82">
        <v>0</v>
      </c>
      <c r="U19" s="82">
        <v>0</v>
      </c>
      <c r="V19" s="82">
        <v>27.799099999999999</v>
      </c>
      <c r="W19" s="82">
        <v>82.2489056090226</v>
      </c>
      <c r="X19" s="82">
        <v>30.7810986</v>
      </c>
      <c r="Y19" s="117">
        <v>4.42</v>
      </c>
      <c r="Z19" s="117">
        <v>1.5325</v>
      </c>
    </row>
    <row r="20" spans="1:26">
      <c r="C20" s="11" t="s">
        <v>386</v>
      </c>
      <c r="D20" s="114" t="s">
        <v>269</v>
      </c>
      <c r="E20" s="82">
        <v>2340.5129999999999</v>
      </c>
      <c r="F20" s="82">
        <v>2543.4442807999999</v>
      </c>
      <c r="G20" s="82">
        <v>2308.8072785469199</v>
      </c>
      <c r="H20" s="82">
        <v>2248.7452060000001</v>
      </c>
      <c r="I20" s="82">
        <v>2180.2639683636398</v>
      </c>
      <c r="J20" s="82">
        <v>2253.9238869999999</v>
      </c>
      <c r="K20" s="82">
        <v>1748.555241</v>
      </c>
      <c r="L20" s="82">
        <v>2022.9427330000001</v>
      </c>
      <c r="M20" s="82">
        <v>1791.3610000000001</v>
      </c>
      <c r="N20" s="82">
        <v>2124.5549999999998</v>
      </c>
      <c r="O20" s="82">
        <v>1627.0264400000001</v>
      </c>
      <c r="P20" s="82">
        <v>1758.367</v>
      </c>
      <c r="Q20" s="82">
        <v>1791.51</v>
      </c>
      <c r="R20" s="82">
        <v>2648.0863000306799</v>
      </c>
      <c r="S20" s="82">
        <v>2682.7125525873098</v>
      </c>
      <c r="T20" s="82">
        <v>2873.7976396261702</v>
      </c>
      <c r="U20" s="82">
        <v>2600.0016396261699</v>
      </c>
      <c r="V20" s="82">
        <v>2458.0544896261699</v>
      </c>
      <c r="W20" s="82">
        <v>2165.1768819261702</v>
      </c>
      <c r="X20" s="82">
        <v>2052.1908115000001</v>
      </c>
      <c r="Y20" s="117">
        <v>1969.71296799999</v>
      </c>
      <c r="Z20" s="117">
        <v>2054.8983549999998</v>
      </c>
    </row>
    <row r="21" spans="1:26">
      <c r="C21" s="11" t="s">
        <v>383</v>
      </c>
      <c r="D21" s="114" t="s">
        <v>269</v>
      </c>
      <c r="E21" s="82">
        <v>2809.8196874999999</v>
      </c>
      <c r="F21" s="82">
        <v>2954.5363957499999</v>
      </c>
      <c r="G21" s="82">
        <v>2661.0351934711498</v>
      </c>
      <c r="H21" s="82">
        <v>2613.2104667336198</v>
      </c>
      <c r="I21" s="82">
        <v>2588.4966623118098</v>
      </c>
      <c r="J21" s="82">
        <v>2672.7087474526902</v>
      </c>
      <c r="K21" s="82">
        <v>2077.1874285085801</v>
      </c>
      <c r="L21" s="82">
        <v>2290.9717330180601</v>
      </c>
      <c r="M21" s="82">
        <v>2067.470519603</v>
      </c>
      <c r="N21" s="82">
        <v>2405.5475196030002</v>
      </c>
      <c r="O21" s="82">
        <v>1885.65344</v>
      </c>
      <c r="P21" s="82">
        <v>2028.94876575641</v>
      </c>
      <c r="Q21" s="82">
        <v>2076.4879239083202</v>
      </c>
      <c r="R21" s="82">
        <v>2946.5801555295802</v>
      </c>
      <c r="S21" s="82">
        <v>2994.1525355107301</v>
      </c>
      <c r="T21" s="82">
        <v>3152.7413498288502</v>
      </c>
      <c r="U21" s="82">
        <v>2892.2682066450702</v>
      </c>
      <c r="V21" s="82">
        <v>2766.4182005863099</v>
      </c>
      <c r="W21" s="82">
        <v>2535.94963346945</v>
      </c>
      <c r="X21" s="82">
        <v>2370.0253019440402</v>
      </c>
      <c r="Y21" s="117">
        <v>2249.2448808440299</v>
      </c>
      <c r="Z21" s="117">
        <v>2332.0477678440402</v>
      </c>
    </row>
    <row r="22" spans="1:26">
      <c r="A22" t="s">
        <v>2</v>
      </c>
      <c r="E22" s="82"/>
      <c r="F22" s="82"/>
      <c r="G22" s="82"/>
      <c r="H22" s="82"/>
      <c r="I22" s="82"/>
      <c r="J22" s="82"/>
      <c r="K22" s="82"/>
      <c r="L22" s="82"/>
      <c r="M22" s="82"/>
      <c r="N22" s="82"/>
      <c r="O22" s="82"/>
      <c r="P22" s="82"/>
      <c r="Q22" s="82"/>
      <c r="R22" s="82"/>
      <c r="S22" s="82"/>
      <c r="T22" s="82"/>
      <c r="U22" s="82"/>
      <c r="V22" s="82"/>
      <c r="W22" s="82"/>
      <c r="X22" s="82"/>
      <c r="Y22" s="117"/>
      <c r="Z22" s="117"/>
    </row>
    <row r="23" spans="1:26">
      <c r="B23" s="23" t="s">
        <v>65</v>
      </c>
      <c r="E23" s="82"/>
      <c r="F23" s="82"/>
      <c r="G23" s="82"/>
      <c r="H23" s="82"/>
      <c r="I23" s="82"/>
      <c r="J23" s="82"/>
      <c r="K23" s="82"/>
      <c r="L23" s="82"/>
      <c r="M23" s="82"/>
      <c r="N23" s="82"/>
      <c r="O23" s="82"/>
      <c r="P23" s="82"/>
      <c r="Q23" s="82"/>
      <c r="R23" s="82"/>
      <c r="S23" s="82"/>
      <c r="T23" s="82"/>
      <c r="U23" s="82"/>
      <c r="V23" s="82"/>
      <c r="W23" s="82"/>
      <c r="X23" s="82"/>
      <c r="Y23" s="117"/>
      <c r="Z23" s="117"/>
    </row>
    <row r="24" spans="1:26">
      <c r="C24" s="24" t="s">
        <v>82</v>
      </c>
      <c r="D24" s="114" t="s">
        <v>269</v>
      </c>
      <c r="E24" s="82">
        <v>0</v>
      </c>
      <c r="F24" s="82">
        <v>0</v>
      </c>
      <c r="G24" s="82">
        <v>0</v>
      </c>
      <c r="H24" s="82">
        <v>0</v>
      </c>
      <c r="I24" s="82">
        <v>0</v>
      </c>
      <c r="J24" s="82">
        <v>0</v>
      </c>
      <c r="K24" s="82">
        <v>0</v>
      </c>
      <c r="L24" s="82">
        <v>0</v>
      </c>
      <c r="M24" s="82">
        <v>0</v>
      </c>
      <c r="N24" s="82">
        <v>0</v>
      </c>
      <c r="O24" s="82">
        <v>0</v>
      </c>
      <c r="P24" s="82">
        <v>0</v>
      </c>
      <c r="Q24" s="82">
        <v>0</v>
      </c>
      <c r="R24" s="82">
        <v>0</v>
      </c>
      <c r="S24" s="82">
        <v>0</v>
      </c>
      <c r="T24" s="82">
        <v>0</v>
      </c>
      <c r="U24" s="82">
        <v>0</v>
      </c>
      <c r="V24" s="82">
        <v>0</v>
      </c>
      <c r="W24" s="82">
        <v>0</v>
      </c>
      <c r="X24" s="82">
        <v>0</v>
      </c>
      <c r="Y24" s="117">
        <v>0</v>
      </c>
      <c r="Z24" s="117">
        <v>0</v>
      </c>
    </row>
    <row r="25" spans="1:26">
      <c r="C25" s="24" t="s">
        <v>83</v>
      </c>
      <c r="D25" s="114" t="s">
        <v>269</v>
      </c>
      <c r="E25" s="82">
        <v>61.335850000000001</v>
      </c>
      <c r="F25" s="82">
        <v>8.3670000000000009</v>
      </c>
      <c r="G25" s="82">
        <v>0</v>
      </c>
      <c r="H25" s="82">
        <v>80</v>
      </c>
      <c r="I25" s="82">
        <v>0</v>
      </c>
      <c r="J25" s="82">
        <v>6.8810000000000002</v>
      </c>
      <c r="K25" s="82">
        <v>165.94649999999999</v>
      </c>
      <c r="L25" s="82">
        <v>68.677719999999994</v>
      </c>
      <c r="M25" s="82">
        <v>286.93599999999998</v>
      </c>
      <c r="N25" s="82">
        <v>416.27008999999998</v>
      </c>
      <c r="O25" s="82">
        <v>490.92144141078001</v>
      </c>
      <c r="P25" s="82">
        <v>705.40987538503202</v>
      </c>
      <c r="Q25" s="82">
        <v>862.2944041367</v>
      </c>
      <c r="R25" s="82">
        <v>1150.7327299999999</v>
      </c>
      <c r="S25" s="82">
        <v>1022.8168449999999</v>
      </c>
      <c r="T25" s="82">
        <v>1089.33384</v>
      </c>
      <c r="U25" s="82">
        <v>1192.8867</v>
      </c>
      <c r="V25" s="82">
        <v>830.75980000000004</v>
      </c>
      <c r="W25" s="82">
        <v>196.73558</v>
      </c>
      <c r="X25" s="82">
        <v>492.63200000000001</v>
      </c>
      <c r="Y25" s="117">
        <v>615.12</v>
      </c>
      <c r="Z25" s="117">
        <v>363.02266999999898</v>
      </c>
    </row>
    <row r="26" spans="1:26">
      <c r="C26" s="24" t="s">
        <v>42</v>
      </c>
      <c r="D26" s="114" t="s">
        <v>269</v>
      </c>
      <c r="E26" s="82">
        <v>2460.21947</v>
      </c>
      <c r="F26" s="82">
        <v>2697.8186099999998</v>
      </c>
      <c r="G26" s="82">
        <v>2242.90202</v>
      </c>
      <c r="H26" s="82">
        <v>2280.5709999999999</v>
      </c>
      <c r="I26" s="82">
        <v>2339.6770000000001</v>
      </c>
      <c r="J26" s="82">
        <v>2551.6779030245302</v>
      </c>
      <c r="K26" s="82">
        <v>2029.5440777307299</v>
      </c>
      <c r="L26" s="82">
        <v>2494.1701235734599</v>
      </c>
      <c r="M26" s="82">
        <v>2379.4705906691702</v>
      </c>
      <c r="N26" s="82">
        <v>1886.64192213047</v>
      </c>
      <c r="O26" s="82">
        <v>1971.5078252506801</v>
      </c>
      <c r="P26" s="82">
        <v>2373.4685463599999</v>
      </c>
      <c r="Q26" s="82">
        <v>2653.3192953033199</v>
      </c>
      <c r="R26" s="82">
        <v>2959.2000394413299</v>
      </c>
      <c r="S26" s="82">
        <v>3373.8457229344899</v>
      </c>
      <c r="T26" s="82">
        <v>3058.74789637196</v>
      </c>
      <c r="U26" s="82">
        <v>3052.4380219616201</v>
      </c>
      <c r="V26" s="82">
        <v>2710.6082158438599</v>
      </c>
      <c r="W26" s="82">
        <v>2674.9139606960598</v>
      </c>
      <c r="X26" s="82">
        <v>2634.7643367618698</v>
      </c>
      <c r="Y26" s="117">
        <v>2490.0741682600001</v>
      </c>
      <c r="Z26" s="117">
        <v>2411.769706388</v>
      </c>
    </row>
    <row r="27" spans="1:26" ht="15" customHeight="1">
      <c r="C27" s="24" t="s">
        <v>43</v>
      </c>
      <c r="D27" s="114" t="s">
        <v>269</v>
      </c>
      <c r="E27" s="82">
        <v>2521.5553199999999</v>
      </c>
      <c r="F27" s="82">
        <v>2706.18561</v>
      </c>
      <c r="G27" s="82">
        <v>2242.90202</v>
      </c>
      <c r="H27" s="82">
        <v>2360.5709999999999</v>
      </c>
      <c r="I27" s="82">
        <v>2339.6770000000001</v>
      </c>
      <c r="J27" s="82">
        <v>2558.5589030245301</v>
      </c>
      <c r="K27" s="82">
        <v>2195.4905777307299</v>
      </c>
      <c r="L27" s="82">
        <v>2562.8478435734601</v>
      </c>
      <c r="M27" s="82">
        <v>2666.4065906691699</v>
      </c>
      <c r="N27" s="82">
        <v>2302.91201213047</v>
      </c>
      <c r="O27" s="82">
        <v>2462.4292666614601</v>
      </c>
      <c r="P27" s="82">
        <v>3078.8784217450302</v>
      </c>
      <c r="Q27" s="82">
        <v>3515.6136994400199</v>
      </c>
      <c r="R27" s="82">
        <v>4109.9327694413296</v>
      </c>
      <c r="S27" s="82">
        <v>4396.6625679344897</v>
      </c>
      <c r="T27" s="82">
        <v>4148.0817363719598</v>
      </c>
      <c r="U27" s="82">
        <v>4245.3247219616296</v>
      </c>
      <c r="V27" s="82">
        <v>3541.3680158438601</v>
      </c>
      <c r="W27" s="82">
        <v>2871.6495406960598</v>
      </c>
      <c r="X27" s="82">
        <v>3127.3963367618699</v>
      </c>
      <c r="Y27" s="117">
        <v>3105.19416826</v>
      </c>
      <c r="Z27" s="117">
        <v>2774.7923763879999</v>
      </c>
    </row>
    <row r="28" spans="1:26" ht="15" customHeight="1">
      <c r="A28" t="s">
        <v>2</v>
      </c>
      <c r="E28" s="82"/>
      <c r="F28" s="82"/>
      <c r="G28" s="82"/>
      <c r="H28" s="82"/>
      <c r="I28" s="82"/>
      <c r="J28" s="82"/>
      <c r="K28" s="82"/>
      <c r="L28" s="82"/>
      <c r="M28" s="82"/>
      <c r="N28" s="82"/>
      <c r="O28" s="82"/>
      <c r="P28" s="82"/>
      <c r="Q28" s="82"/>
      <c r="R28" s="82"/>
      <c r="S28" s="82"/>
      <c r="T28" s="82"/>
      <c r="U28" s="82"/>
      <c r="V28" s="82"/>
      <c r="W28" s="82"/>
      <c r="X28" s="82"/>
      <c r="Y28" s="117"/>
      <c r="Z28" s="117"/>
    </row>
    <row r="29" spans="1:26" ht="15" customHeight="1">
      <c r="B29" s="22" t="s">
        <v>382</v>
      </c>
      <c r="E29" s="82"/>
      <c r="F29" s="82"/>
      <c r="G29" s="82"/>
      <c r="H29" s="82"/>
      <c r="I29" s="82"/>
      <c r="J29" s="82"/>
      <c r="K29" s="82"/>
      <c r="L29" s="82"/>
      <c r="M29" s="82"/>
      <c r="N29" s="82"/>
      <c r="O29" s="82"/>
      <c r="P29" s="82"/>
      <c r="Q29" s="82"/>
      <c r="R29" s="82"/>
      <c r="S29" s="82"/>
      <c r="T29" s="82"/>
      <c r="U29" s="82"/>
      <c r="V29" s="82"/>
      <c r="W29" s="82"/>
      <c r="X29" s="82"/>
      <c r="Y29" s="117"/>
      <c r="Z29" s="117"/>
    </row>
    <row r="30" spans="1:26" ht="15" customHeight="1">
      <c r="C30" s="11" t="s">
        <v>387</v>
      </c>
      <c r="D30" s="114" t="s">
        <v>269</v>
      </c>
      <c r="E30" s="82">
        <v>551.28694694871206</v>
      </c>
      <c r="F30" s="82">
        <v>537.83934617378702</v>
      </c>
      <c r="G30" s="82">
        <v>487.71994089955001</v>
      </c>
      <c r="H30" s="82">
        <v>514.25387632713</v>
      </c>
      <c r="I30" s="82">
        <v>528.47274602208302</v>
      </c>
      <c r="J30" s="82">
        <v>544.58129989063104</v>
      </c>
      <c r="K30" s="82">
        <v>494.53517641424003</v>
      </c>
      <c r="L30" s="82">
        <v>436.59183594996699</v>
      </c>
      <c r="M30" s="82">
        <v>468.341232365591</v>
      </c>
      <c r="N30" s="82">
        <v>498.54223236559102</v>
      </c>
      <c r="O30" s="82">
        <v>450.99275999999998</v>
      </c>
      <c r="P30" s="82">
        <v>343.41800000000001</v>
      </c>
      <c r="Q30" s="82">
        <v>330.89100000000002</v>
      </c>
      <c r="R30" s="82">
        <v>355.10599999999999</v>
      </c>
      <c r="S30" s="82">
        <v>395.3775</v>
      </c>
      <c r="T30" s="82">
        <v>365.71986910711797</v>
      </c>
      <c r="U30" s="82">
        <v>357.98250000000002</v>
      </c>
      <c r="V30" s="82">
        <v>451.51049999999998</v>
      </c>
      <c r="W30" s="82">
        <v>414.95197000000002</v>
      </c>
      <c r="X30" s="82">
        <v>349.21517213504001</v>
      </c>
      <c r="Y30" s="117">
        <v>334.67700000000002</v>
      </c>
      <c r="Z30" s="117">
        <v>199.20527999999999</v>
      </c>
    </row>
    <row r="31" spans="1:26" ht="15" customHeight="1">
      <c r="C31" s="11" t="s">
        <v>388</v>
      </c>
      <c r="D31" s="114" t="s">
        <v>269</v>
      </c>
      <c r="E31" s="82">
        <v>375.863</v>
      </c>
      <c r="F31" s="82">
        <v>798.85799999999995</v>
      </c>
      <c r="G31" s="82">
        <v>1502.8779999999999</v>
      </c>
      <c r="H31" s="82">
        <v>2136.2620000000002</v>
      </c>
      <c r="I31" s="82">
        <v>2498.3220000000001</v>
      </c>
      <c r="J31" s="82">
        <v>2254.5949999999998</v>
      </c>
      <c r="K31" s="82">
        <v>2589.5219999999999</v>
      </c>
      <c r="L31" s="82">
        <v>2638.7109999999998</v>
      </c>
      <c r="M31" s="82">
        <v>3059.9929999999999</v>
      </c>
      <c r="N31" s="82">
        <v>2543.1889999999999</v>
      </c>
      <c r="O31" s="82">
        <v>2771.6132699999998</v>
      </c>
      <c r="P31" s="82">
        <v>2910.6257500000002</v>
      </c>
      <c r="Q31" s="82">
        <v>3376.3251433333298</v>
      </c>
      <c r="R31" s="82">
        <v>3699.7028088349498</v>
      </c>
      <c r="S31" s="82">
        <v>3619.8236328565799</v>
      </c>
      <c r="T31" s="82">
        <v>3331.2931800000001</v>
      </c>
      <c r="U31" s="82">
        <v>3053.0896400000001</v>
      </c>
      <c r="V31" s="82">
        <v>2221.7793999999999</v>
      </c>
      <c r="W31" s="82">
        <v>1819.68895</v>
      </c>
      <c r="X31" s="82">
        <v>2246.5693104347802</v>
      </c>
      <c r="Y31" s="117">
        <v>2202.21108</v>
      </c>
      <c r="Z31" s="117">
        <v>1921.26476</v>
      </c>
    </row>
    <row r="32" spans="1:26" ht="15" customHeight="1">
      <c r="C32" s="24" t="s">
        <v>42</v>
      </c>
      <c r="D32" s="114" t="s">
        <v>269</v>
      </c>
      <c r="E32" s="82">
        <v>899.83299999999997</v>
      </c>
      <c r="F32" s="82">
        <v>973.14099999999996</v>
      </c>
      <c r="G32" s="82">
        <v>865.32</v>
      </c>
      <c r="H32" s="82">
        <v>919.17539999999997</v>
      </c>
      <c r="I32" s="82">
        <v>980.06057699999997</v>
      </c>
      <c r="J32" s="82">
        <v>997.14499999999998</v>
      </c>
      <c r="K32" s="82">
        <v>1009.329</v>
      </c>
      <c r="L32" s="82">
        <v>901.45399999999995</v>
      </c>
      <c r="M32" s="82">
        <v>923.96699999999998</v>
      </c>
      <c r="N32" s="82">
        <v>843.40800000000002</v>
      </c>
      <c r="O32" s="82">
        <v>800.94500000000005</v>
      </c>
      <c r="P32" s="82">
        <v>856.327</v>
      </c>
      <c r="Q32" s="82">
        <v>968.572</v>
      </c>
      <c r="R32" s="82">
        <v>912.298</v>
      </c>
      <c r="S32" s="82">
        <v>979.73509000000001</v>
      </c>
      <c r="T32" s="82">
        <v>848.60131944671105</v>
      </c>
      <c r="U32" s="82">
        <v>1077.3819980181399</v>
      </c>
      <c r="V32" s="82">
        <v>1180.51431944671</v>
      </c>
      <c r="W32" s="82">
        <v>1117.2950000000001</v>
      </c>
      <c r="X32" s="82">
        <v>1134.3411799999999</v>
      </c>
      <c r="Y32" s="117">
        <v>770.34983599999998</v>
      </c>
      <c r="Z32" s="117">
        <v>665.81799999999998</v>
      </c>
    </row>
    <row r="33" spans="1:26" ht="15" customHeight="1">
      <c r="C33" s="24" t="s">
        <v>43</v>
      </c>
      <c r="D33" s="114" t="s">
        <v>269</v>
      </c>
      <c r="E33" s="82">
        <v>1826.9829469487099</v>
      </c>
      <c r="F33" s="82">
        <v>2309.8383461737899</v>
      </c>
      <c r="G33" s="82">
        <v>2855.9179408995501</v>
      </c>
      <c r="H33" s="82">
        <v>3569.6912763271298</v>
      </c>
      <c r="I33" s="82">
        <v>4006.85532302208</v>
      </c>
      <c r="J33" s="82">
        <v>3796.3212998906301</v>
      </c>
      <c r="K33" s="82">
        <v>4093.3861764142398</v>
      </c>
      <c r="L33" s="82">
        <v>3976.7568359499701</v>
      </c>
      <c r="M33" s="82">
        <v>4452.3012323655903</v>
      </c>
      <c r="N33" s="82">
        <v>3885.13923236559</v>
      </c>
      <c r="O33" s="82">
        <v>4023.5510300000001</v>
      </c>
      <c r="P33" s="82">
        <v>4110.37075</v>
      </c>
      <c r="Q33" s="82">
        <v>4675.7881433333296</v>
      </c>
      <c r="R33" s="82">
        <v>4967.1068088349502</v>
      </c>
      <c r="S33" s="82">
        <v>4994.9362228565797</v>
      </c>
      <c r="T33" s="82">
        <v>4545.61436855383</v>
      </c>
      <c r="U33" s="82">
        <v>4488.4541380181399</v>
      </c>
      <c r="V33" s="82">
        <v>3853.8042194467098</v>
      </c>
      <c r="W33" s="82">
        <v>3351.9359199999999</v>
      </c>
      <c r="X33" s="82">
        <v>3730.1256625698202</v>
      </c>
      <c r="Y33" s="117">
        <v>3307.237916</v>
      </c>
      <c r="Z33" s="117">
        <v>2786.2880399999999</v>
      </c>
    </row>
    <row r="34" spans="1:26" ht="15" customHeight="1">
      <c r="A34" t="s">
        <v>2</v>
      </c>
      <c r="E34" s="82"/>
      <c r="F34" s="82"/>
      <c r="G34" s="82"/>
      <c r="H34" s="82"/>
      <c r="I34" s="82"/>
      <c r="J34" s="82"/>
      <c r="K34" s="82"/>
      <c r="L34" s="82"/>
      <c r="M34" s="82"/>
      <c r="N34" s="82"/>
      <c r="O34" s="82"/>
      <c r="P34" s="82"/>
      <c r="Q34" s="82"/>
      <c r="R34" s="82"/>
      <c r="S34" s="82"/>
      <c r="T34" s="82"/>
      <c r="U34" s="82"/>
      <c r="V34" s="82"/>
      <c r="W34" s="82"/>
      <c r="X34" s="82"/>
      <c r="Y34" s="117"/>
      <c r="Z34" s="117"/>
    </row>
    <row r="35" spans="1:26" ht="15" customHeight="1">
      <c r="B35" s="23" t="s">
        <v>67</v>
      </c>
      <c r="E35" s="82"/>
      <c r="F35" s="82"/>
      <c r="G35" s="82"/>
      <c r="H35" s="82"/>
      <c r="I35" s="82"/>
      <c r="J35" s="82"/>
      <c r="K35" s="82"/>
      <c r="L35" s="82"/>
      <c r="M35" s="82"/>
      <c r="N35" s="82"/>
      <c r="O35" s="82"/>
      <c r="P35" s="82"/>
      <c r="Q35" s="82"/>
      <c r="R35" s="82"/>
      <c r="S35" s="82"/>
      <c r="T35" s="82"/>
      <c r="U35" s="82"/>
      <c r="V35" s="82"/>
      <c r="W35" s="82"/>
      <c r="X35" s="82"/>
      <c r="Y35" s="117"/>
      <c r="Z35" s="117"/>
    </row>
    <row r="36" spans="1:26" ht="15" customHeight="1">
      <c r="C36" s="24" t="s">
        <v>82</v>
      </c>
      <c r="D36" s="114" t="s">
        <v>269</v>
      </c>
      <c r="E36" s="82">
        <v>5315.375</v>
      </c>
      <c r="F36" s="82">
        <v>5201.7066262222197</v>
      </c>
      <c r="G36" s="82">
        <v>5078.47</v>
      </c>
      <c r="H36" s="82">
        <v>3782.8530000000001</v>
      </c>
      <c r="I36" s="82">
        <v>3966.4821984</v>
      </c>
      <c r="J36" s="82">
        <v>4275.1682199999996</v>
      </c>
      <c r="K36" s="82">
        <v>3696.6194</v>
      </c>
      <c r="L36" s="82">
        <v>2669.7435728</v>
      </c>
      <c r="M36" s="82">
        <v>2659.0349000000001</v>
      </c>
      <c r="N36" s="82">
        <v>1039.2498499999999</v>
      </c>
      <c r="O36" s="82">
        <v>795.20699999999999</v>
      </c>
      <c r="P36" s="82">
        <v>1133.4570000000001</v>
      </c>
      <c r="Q36" s="82">
        <v>1082.2439999999999</v>
      </c>
      <c r="R36" s="82">
        <v>1143.49153</v>
      </c>
      <c r="S36" s="82">
        <v>1204.2521899999999</v>
      </c>
      <c r="T36" s="82">
        <v>1260.28952</v>
      </c>
      <c r="U36" s="82">
        <v>1195.9280000000001</v>
      </c>
      <c r="V36" s="82">
        <v>1247.1922099999999</v>
      </c>
      <c r="W36" s="82">
        <v>1308.43922666667</v>
      </c>
      <c r="X36" s="82">
        <v>1140.981796</v>
      </c>
      <c r="Y36" s="117">
        <v>935.33399999999995</v>
      </c>
      <c r="Z36" s="117">
        <v>1165.2689154366301</v>
      </c>
    </row>
    <row r="37" spans="1:26" ht="15" customHeight="1">
      <c r="C37" s="24" t="s">
        <v>83</v>
      </c>
      <c r="D37" s="114" t="s">
        <v>269</v>
      </c>
      <c r="E37" s="82">
        <v>748.92100000000005</v>
      </c>
      <c r="F37" s="82">
        <v>619.59166666666704</v>
      </c>
      <c r="G37" s="82">
        <v>923.99199999999996</v>
      </c>
      <c r="H37" s="82">
        <v>1078.1690000000001</v>
      </c>
      <c r="I37" s="82">
        <v>1081.9970699999999</v>
      </c>
      <c r="J37" s="82">
        <v>1323.434</v>
      </c>
      <c r="K37" s="82">
        <v>1161.1220000000001</v>
      </c>
      <c r="L37" s="82">
        <v>990.61800000000005</v>
      </c>
      <c r="M37" s="82">
        <v>934.29627000000005</v>
      </c>
      <c r="N37" s="82">
        <v>304.21265</v>
      </c>
      <c r="O37" s="82">
        <v>353.19</v>
      </c>
      <c r="P37" s="82">
        <v>1084.9369999999999</v>
      </c>
      <c r="Q37" s="82">
        <v>1290.33</v>
      </c>
      <c r="R37" s="82">
        <v>2024.51493</v>
      </c>
      <c r="S37" s="82">
        <v>2638.6940800000002</v>
      </c>
      <c r="T37" s="82">
        <v>3014.4656799999998</v>
      </c>
      <c r="U37" s="82">
        <v>3099.1170000000002</v>
      </c>
      <c r="V37" s="82">
        <v>2659.0550699999999</v>
      </c>
      <c r="W37" s="82">
        <v>2621.7889203703699</v>
      </c>
      <c r="X37" s="82">
        <v>2407.6117800000002</v>
      </c>
      <c r="Y37" s="117">
        <v>2530.0099359139799</v>
      </c>
      <c r="Z37" s="117">
        <v>2135.2000229629598</v>
      </c>
    </row>
    <row r="38" spans="1:26" ht="15" customHeight="1">
      <c r="C38" s="24" t="s">
        <v>42</v>
      </c>
      <c r="D38" s="114" t="s">
        <v>269</v>
      </c>
      <c r="E38" s="82">
        <v>1269.2650000000001</v>
      </c>
      <c r="F38" s="82">
        <v>1249.2278867037001</v>
      </c>
      <c r="G38" s="82">
        <v>1117.40877257634</v>
      </c>
      <c r="H38" s="82">
        <v>1153.9685246301101</v>
      </c>
      <c r="I38" s="82">
        <v>1134.0159120000001</v>
      </c>
      <c r="J38" s="82">
        <v>1372.2252699999999</v>
      </c>
      <c r="K38" s="82">
        <v>870.23935500000005</v>
      </c>
      <c r="L38" s="82">
        <v>1106.2079699999999</v>
      </c>
      <c r="M38" s="82">
        <v>1306.3169700000001</v>
      </c>
      <c r="N38" s="82">
        <v>1194.48317</v>
      </c>
      <c r="O38" s="82">
        <v>1261.8340000000001</v>
      </c>
      <c r="P38" s="82">
        <v>1125.4749999999999</v>
      </c>
      <c r="Q38" s="82">
        <v>1082.3969999999999</v>
      </c>
      <c r="R38" s="82">
        <v>1136.02988</v>
      </c>
      <c r="S38" s="82">
        <v>1421.0319099999999</v>
      </c>
      <c r="T38" s="82">
        <v>1544.02017</v>
      </c>
      <c r="U38" s="82">
        <v>1438.84449</v>
      </c>
      <c r="V38" s="82">
        <v>1680.9536631447199</v>
      </c>
      <c r="W38" s="82">
        <v>1368.4421230606299</v>
      </c>
      <c r="X38" s="82">
        <v>1635.2167087763501</v>
      </c>
      <c r="Y38" s="117">
        <v>1590.2719529784899</v>
      </c>
      <c r="Z38" s="117">
        <v>1517.8549849999999</v>
      </c>
    </row>
    <row r="39" spans="1:26" ht="15" customHeight="1">
      <c r="C39" s="24" t="s">
        <v>43</v>
      </c>
      <c r="D39" s="114" t="s">
        <v>269</v>
      </c>
      <c r="E39" s="82">
        <v>7333.5609999999997</v>
      </c>
      <c r="F39" s="82">
        <v>7070.5261795925899</v>
      </c>
      <c r="G39" s="82">
        <v>7119.8707725763397</v>
      </c>
      <c r="H39" s="82">
        <v>6014.9905246301096</v>
      </c>
      <c r="I39" s="82">
        <v>6182.4951804000002</v>
      </c>
      <c r="J39" s="82">
        <v>6970.8274899999997</v>
      </c>
      <c r="K39" s="82">
        <v>5727.9807549999996</v>
      </c>
      <c r="L39" s="82">
        <v>4766.5695427999999</v>
      </c>
      <c r="M39" s="82">
        <v>4899.6481400000002</v>
      </c>
      <c r="N39" s="82">
        <v>2537.9456700000001</v>
      </c>
      <c r="O39" s="82">
        <v>2410.2310000000002</v>
      </c>
      <c r="P39" s="82">
        <v>3343.8690000000001</v>
      </c>
      <c r="Q39" s="82">
        <v>3454.971</v>
      </c>
      <c r="R39" s="82">
        <v>4304.0363399999997</v>
      </c>
      <c r="S39" s="82">
        <v>5263.9781800000001</v>
      </c>
      <c r="T39" s="82">
        <v>5818.7753700000003</v>
      </c>
      <c r="U39" s="82">
        <v>5733.8894899999996</v>
      </c>
      <c r="V39" s="82">
        <v>5587.2009431447204</v>
      </c>
      <c r="W39" s="82">
        <v>5298.6702700976703</v>
      </c>
      <c r="X39" s="82">
        <v>5183.8102847763603</v>
      </c>
      <c r="Y39" s="117">
        <v>5055.6158888924701</v>
      </c>
      <c r="Z39" s="117">
        <v>4818.3239233995901</v>
      </c>
    </row>
    <row r="40" spans="1:26" ht="15" customHeight="1">
      <c r="A40" t="s">
        <v>2</v>
      </c>
      <c r="E40" s="82"/>
      <c r="F40" s="82"/>
      <c r="G40" s="82"/>
      <c r="H40" s="82"/>
      <c r="I40" s="82"/>
      <c r="J40" s="82"/>
      <c r="K40" s="82"/>
      <c r="L40" s="82"/>
      <c r="M40" s="82"/>
      <c r="N40" s="82"/>
      <c r="O40" s="82"/>
      <c r="P40" s="82"/>
      <c r="Q40" s="82"/>
      <c r="R40" s="82"/>
      <c r="S40" s="82"/>
      <c r="T40" s="82"/>
      <c r="U40" s="82"/>
      <c r="V40" s="82"/>
      <c r="W40" s="82"/>
      <c r="X40" s="82"/>
      <c r="Y40" s="117"/>
      <c r="Z40" s="117"/>
    </row>
    <row r="41" spans="1:26" ht="15" customHeight="1">
      <c r="B41" s="23" t="s">
        <v>68</v>
      </c>
      <c r="E41" s="82"/>
      <c r="F41" s="82"/>
      <c r="G41" s="82"/>
      <c r="H41" s="82"/>
      <c r="I41" s="82"/>
      <c r="J41" s="82"/>
      <c r="K41" s="82"/>
      <c r="L41" s="82"/>
      <c r="M41" s="82"/>
      <c r="N41" s="82"/>
      <c r="O41" s="82"/>
      <c r="P41" s="82"/>
      <c r="Q41" s="82"/>
      <c r="R41" s="82"/>
      <c r="S41" s="82"/>
      <c r="T41" s="82"/>
      <c r="U41" s="82"/>
      <c r="V41" s="82"/>
      <c r="W41" s="82"/>
      <c r="X41" s="82"/>
      <c r="Y41" s="118"/>
      <c r="Z41" s="118"/>
    </row>
    <row r="42" spans="1:26" ht="15" customHeight="1">
      <c r="C42" s="24" t="s">
        <v>82</v>
      </c>
      <c r="D42" s="114" t="s">
        <v>269</v>
      </c>
      <c r="E42" s="82">
        <v>0</v>
      </c>
      <c r="F42" s="82">
        <v>7</v>
      </c>
      <c r="G42" s="82">
        <v>21</v>
      </c>
      <c r="H42" s="82">
        <v>25</v>
      </c>
      <c r="I42" s="82">
        <v>0</v>
      </c>
      <c r="J42" s="82">
        <v>0</v>
      </c>
      <c r="K42" s="82">
        <v>0</v>
      </c>
      <c r="L42" s="82">
        <v>0</v>
      </c>
      <c r="M42" s="82">
        <v>0</v>
      </c>
      <c r="N42" s="82">
        <v>0</v>
      </c>
      <c r="O42" s="82">
        <v>0</v>
      </c>
      <c r="P42" s="82">
        <v>0</v>
      </c>
      <c r="Q42" s="82">
        <v>0</v>
      </c>
      <c r="R42" s="82" t="s">
        <v>211</v>
      </c>
      <c r="S42" s="82" t="s">
        <v>211</v>
      </c>
      <c r="T42" s="82" t="s">
        <v>211</v>
      </c>
      <c r="U42" s="82" t="s">
        <v>211</v>
      </c>
      <c r="V42" s="82" t="s">
        <v>211</v>
      </c>
      <c r="W42" s="82" t="s">
        <v>211</v>
      </c>
      <c r="X42" s="82" t="s">
        <v>211</v>
      </c>
      <c r="Y42" s="117" t="s">
        <v>211</v>
      </c>
      <c r="Z42" s="117" t="s">
        <v>211</v>
      </c>
    </row>
    <row r="43" spans="1:26" ht="15" customHeight="1">
      <c r="C43" s="24" t="s">
        <v>83</v>
      </c>
      <c r="D43" s="114" t="s">
        <v>269</v>
      </c>
      <c r="E43" s="82">
        <v>0</v>
      </c>
      <c r="F43" s="82">
        <v>0</v>
      </c>
      <c r="G43" s="82">
        <v>0</v>
      </c>
      <c r="H43" s="82">
        <v>0</v>
      </c>
      <c r="I43" s="82">
        <v>0</v>
      </c>
      <c r="J43" s="82">
        <v>0</v>
      </c>
      <c r="K43" s="82">
        <v>0</v>
      </c>
      <c r="L43" s="82">
        <v>0</v>
      </c>
      <c r="M43" s="82">
        <v>0</v>
      </c>
      <c r="N43" s="82">
        <v>0</v>
      </c>
      <c r="O43" s="82">
        <v>0</v>
      </c>
      <c r="P43" s="82">
        <v>0</v>
      </c>
      <c r="Q43" s="82">
        <v>0</v>
      </c>
      <c r="R43" s="82" t="s">
        <v>211</v>
      </c>
      <c r="S43" s="82" t="s">
        <v>211</v>
      </c>
      <c r="T43" s="82" t="s">
        <v>211</v>
      </c>
      <c r="U43" s="82" t="s">
        <v>211</v>
      </c>
      <c r="V43" s="82" t="s">
        <v>211</v>
      </c>
      <c r="W43" s="82" t="s">
        <v>211</v>
      </c>
      <c r="X43" s="82" t="s">
        <v>211</v>
      </c>
      <c r="Y43" s="117" t="s">
        <v>211</v>
      </c>
      <c r="Z43" s="117" t="s">
        <v>211</v>
      </c>
    </row>
    <row r="44" spans="1:26" ht="15" customHeight="1">
      <c r="C44" s="24" t="s">
        <v>42</v>
      </c>
      <c r="D44" s="114" t="s">
        <v>269</v>
      </c>
      <c r="E44" s="82">
        <v>0</v>
      </c>
      <c r="F44" s="82">
        <v>0</v>
      </c>
      <c r="G44" s="82">
        <v>0</v>
      </c>
      <c r="H44" s="82">
        <v>14</v>
      </c>
      <c r="I44" s="82">
        <v>49.460999999999999</v>
      </c>
      <c r="J44" s="82">
        <v>0</v>
      </c>
      <c r="K44" s="82">
        <v>0</v>
      </c>
      <c r="L44" s="82">
        <v>0</v>
      </c>
      <c r="M44" s="82">
        <v>0</v>
      </c>
      <c r="N44" s="82">
        <v>0</v>
      </c>
      <c r="O44" s="82">
        <v>0</v>
      </c>
      <c r="P44" s="82">
        <v>0</v>
      </c>
      <c r="Q44" s="82">
        <v>0</v>
      </c>
      <c r="R44" s="82" t="s">
        <v>211</v>
      </c>
      <c r="S44" s="82" t="s">
        <v>211</v>
      </c>
      <c r="T44" s="82" t="s">
        <v>211</v>
      </c>
      <c r="U44" s="82" t="s">
        <v>211</v>
      </c>
      <c r="V44" s="82" t="s">
        <v>211</v>
      </c>
      <c r="W44" s="82" t="s">
        <v>211</v>
      </c>
      <c r="X44" s="82" t="s">
        <v>211</v>
      </c>
      <c r="Y44" s="117" t="s">
        <v>211</v>
      </c>
      <c r="Z44" s="117" t="s">
        <v>211</v>
      </c>
    </row>
    <row r="45" spans="1:26" ht="15" customHeight="1">
      <c r="C45" s="24" t="s">
        <v>43</v>
      </c>
      <c r="D45" s="114" t="s">
        <v>269</v>
      </c>
      <c r="E45" s="82">
        <v>0</v>
      </c>
      <c r="F45" s="82">
        <v>7</v>
      </c>
      <c r="G45" s="82">
        <v>21</v>
      </c>
      <c r="H45" s="82">
        <v>39</v>
      </c>
      <c r="I45" s="82">
        <v>49.460999999999999</v>
      </c>
      <c r="J45" s="82">
        <v>0</v>
      </c>
      <c r="K45" s="82">
        <v>0</v>
      </c>
      <c r="L45" s="82">
        <v>0</v>
      </c>
      <c r="M45" s="82">
        <v>0</v>
      </c>
      <c r="N45" s="82">
        <v>0</v>
      </c>
      <c r="O45" s="82">
        <v>0</v>
      </c>
      <c r="P45" s="82">
        <v>0</v>
      </c>
      <c r="Q45" s="82">
        <v>0</v>
      </c>
      <c r="R45" s="82" t="s">
        <v>211</v>
      </c>
      <c r="S45" s="82" t="s">
        <v>211</v>
      </c>
      <c r="T45" s="82" t="s">
        <v>211</v>
      </c>
      <c r="U45" s="82" t="s">
        <v>211</v>
      </c>
      <c r="V45" s="82" t="s">
        <v>211</v>
      </c>
      <c r="W45" s="82" t="s">
        <v>211</v>
      </c>
      <c r="X45" s="82" t="s">
        <v>211</v>
      </c>
      <c r="Y45" s="117" t="s">
        <v>211</v>
      </c>
      <c r="Z45" s="117" t="s">
        <v>211</v>
      </c>
    </row>
    <row r="46" spans="1:26" ht="15" customHeight="1">
      <c r="A46" t="s">
        <v>2</v>
      </c>
      <c r="E46" s="82"/>
      <c r="F46" s="82"/>
      <c r="G46" s="82"/>
      <c r="H46" s="82"/>
      <c r="I46" s="82"/>
      <c r="J46" s="82"/>
      <c r="K46" s="82"/>
      <c r="L46" s="82"/>
      <c r="M46" s="82"/>
      <c r="N46" s="82"/>
      <c r="O46" s="82"/>
      <c r="P46" s="82"/>
      <c r="Q46" s="82"/>
      <c r="R46" s="82"/>
      <c r="S46" s="82"/>
      <c r="T46" s="82"/>
      <c r="U46" s="82"/>
      <c r="V46" s="82"/>
      <c r="W46" s="82"/>
      <c r="X46" s="82"/>
      <c r="Y46" s="117"/>
      <c r="Z46" s="117"/>
    </row>
    <row r="47" spans="1:26" ht="15" customHeight="1">
      <c r="B47" s="23" t="s">
        <v>69</v>
      </c>
      <c r="E47" s="82"/>
      <c r="F47" s="82"/>
      <c r="G47" s="82"/>
      <c r="H47" s="82"/>
      <c r="I47" s="82"/>
      <c r="J47" s="82"/>
      <c r="K47" s="82"/>
      <c r="L47" s="82"/>
      <c r="M47" s="82"/>
      <c r="N47" s="82"/>
      <c r="O47" s="82"/>
      <c r="P47" s="82"/>
      <c r="Q47" s="82"/>
      <c r="R47" s="82"/>
      <c r="S47" s="82"/>
      <c r="T47" s="82"/>
      <c r="U47" s="82"/>
      <c r="V47" s="82"/>
      <c r="W47" s="82"/>
      <c r="X47" s="82"/>
      <c r="Y47" s="117"/>
      <c r="Z47" s="117"/>
    </row>
    <row r="48" spans="1:26" ht="15" customHeight="1">
      <c r="C48" s="24" t="s">
        <v>82</v>
      </c>
      <c r="D48" s="114" t="s">
        <v>269</v>
      </c>
      <c r="E48" s="82">
        <v>0</v>
      </c>
      <c r="F48" s="82">
        <v>0</v>
      </c>
      <c r="G48" s="82">
        <v>0</v>
      </c>
      <c r="H48" s="82">
        <v>0</v>
      </c>
      <c r="I48" s="82">
        <v>0</v>
      </c>
      <c r="J48" s="82">
        <v>0</v>
      </c>
      <c r="K48" s="82">
        <v>0</v>
      </c>
      <c r="L48" s="82">
        <v>0</v>
      </c>
      <c r="M48" s="82" t="s">
        <v>211</v>
      </c>
      <c r="N48" s="82" t="s">
        <v>211</v>
      </c>
      <c r="O48" s="82" t="s">
        <v>211</v>
      </c>
      <c r="P48" s="82" t="s">
        <v>211</v>
      </c>
      <c r="Q48" s="82" t="s">
        <v>211</v>
      </c>
      <c r="R48" s="82" t="s">
        <v>211</v>
      </c>
      <c r="S48" s="82" t="s">
        <v>211</v>
      </c>
      <c r="T48" s="82" t="s">
        <v>211</v>
      </c>
      <c r="U48" s="82" t="s">
        <v>211</v>
      </c>
      <c r="V48" s="82" t="s">
        <v>211</v>
      </c>
      <c r="W48" s="82" t="s">
        <v>211</v>
      </c>
      <c r="X48" s="82" t="s">
        <v>211</v>
      </c>
      <c r="Y48" s="117" t="s">
        <v>211</v>
      </c>
      <c r="Z48" s="117" t="s">
        <v>211</v>
      </c>
    </row>
    <row r="49" spans="1:26" ht="15" customHeight="1">
      <c r="C49" s="24" t="s">
        <v>83</v>
      </c>
      <c r="D49" s="114" t="s">
        <v>269</v>
      </c>
      <c r="E49" s="82">
        <v>0</v>
      </c>
      <c r="F49" s="82">
        <v>0</v>
      </c>
      <c r="G49" s="82">
        <v>0</v>
      </c>
      <c r="H49" s="82">
        <v>0</v>
      </c>
      <c r="I49" s="82">
        <v>0</v>
      </c>
      <c r="J49" s="82">
        <v>0</v>
      </c>
      <c r="K49" s="82">
        <v>0</v>
      </c>
      <c r="L49" s="82">
        <v>0</v>
      </c>
      <c r="M49" s="82" t="s">
        <v>211</v>
      </c>
      <c r="N49" s="82" t="s">
        <v>211</v>
      </c>
      <c r="O49" s="82" t="s">
        <v>211</v>
      </c>
      <c r="P49" s="82" t="s">
        <v>211</v>
      </c>
      <c r="Q49" s="82" t="s">
        <v>211</v>
      </c>
      <c r="R49" s="82" t="s">
        <v>211</v>
      </c>
      <c r="S49" s="82" t="s">
        <v>211</v>
      </c>
      <c r="T49" s="82" t="s">
        <v>211</v>
      </c>
      <c r="U49" s="82" t="s">
        <v>211</v>
      </c>
      <c r="V49" s="82" t="s">
        <v>211</v>
      </c>
      <c r="W49" s="82" t="s">
        <v>211</v>
      </c>
      <c r="X49" s="82" t="s">
        <v>211</v>
      </c>
      <c r="Y49" s="117" t="s">
        <v>211</v>
      </c>
      <c r="Z49" s="117" t="s">
        <v>211</v>
      </c>
    </row>
    <row r="50" spans="1:26" ht="15" customHeight="1">
      <c r="C50" s="24" t="s">
        <v>42</v>
      </c>
      <c r="D50" s="114" t="s">
        <v>269</v>
      </c>
      <c r="E50" s="82">
        <v>168.578</v>
      </c>
      <c r="F50" s="82">
        <v>58.021000000000001</v>
      </c>
      <c r="G50" s="82">
        <v>28.747108000000001</v>
      </c>
      <c r="H50" s="82">
        <v>0</v>
      </c>
      <c r="I50" s="82">
        <v>0</v>
      </c>
      <c r="J50" s="82">
        <v>0</v>
      </c>
      <c r="K50" s="82">
        <v>0</v>
      </c>
      <c r="L50" s="82">
        <v>0</v>
      </c>
      <c r="M50" s="82" t="s">
        <v>211</v>
      </c>
      <c r="N50" s="82" t="s">
        <v>211</v>
      </c>
      <c r="O50" s="82" t="s">
        <v>211</v>
      </c>
      <c r="P50" s="82" t="s">
        <v>211</v>
      </c>
      <c r="Q50" s="82" t="s">
        <v>211</v>
      </c>
      <c r="R50" s="82" t="s">
        <v>211</v>
      </c>
      <c r="S50" s="82" t="s">
        <v>211</v>
      </c>
      <c r="T50" s="82" t="s">
        <v>211</v>
      </c>
      <c r="U50" s="82" t="s">
        <v>211</v>
      </c>
      <c r="V50" s="82" t="s">
        <v>211</v>
      </c>
      <c r="W50" s="82" t="s">
        <v>211</v>
      </c>
      <c r="X50" s="82" t="s">
        <v>211</v>
      </c>
      <c r="Y50" s="117" t="s">
        <v>211</v>
      </c>
      <c r="Z50" s="117" t="s">
        <v>211</v>
      </c>
    </row>
    <row r="51" spans="1:26" ht="15" customHeight="1">
      <c r="C51" s="24" t="s">
        <v>43</v>
      </c>
      <c r="D51" s="114" t="s">
        <v>269</v>
      </c>
      <c r="E51" s="82">
        <v>168.578</v>
      </c>
      <c r="F51" s="82">
        <v>58.021000000000001</v>
      </c>
      <c r="G51" s="82">
        <v>28.747108000000001</v>
      </c>
      <c r="H51" s="82">
        <v>0</v>
      </c>
      <c r="I51" s="82">
        <v>0</v>
      </c>
      <c r="J51" s="82">
        <v>0</v>
      </c>
      <c r="K51" s="82">
        <v>0</v>
      </c>
      <c r="L51" s="82">
        <v>0</v>
      </c>
      <c r="M51" s="82" t="s">
        <v>211</v>
      </c>
      <c r="N51" s="82" t="s">
        <v>211</v>
      </c>
      <c r="O51" s="82" t="s">
        <v>211</v>
      </c>
      <c r="P51" s="82" t="s">
        <v>211</v>
      </c>
      <c r="Q51" s="82" t="s">
        <v>211</v>
      </c>
      <c r="R51" s="82" t="s">
        <v>211</v>
      </c>
      <c r="S51" s="82" t="s">
        <v>211</v>
      </c>
      <c r="T51" s="82" t="s">
        <v>211</v>
      </c>
      <c r="U51" s="82" t="s">
        <v>211</v>
      </c>
      <c r="V51" s="82" t="s">
        <v>211</v>
      </c>
      <c r="W51" s="82" t="s">
        <v>211</v>
      </c>
      <c r="X51" s="82" t="s">
        <v>211</v>
      </c>
      <c r="Y51" s="117" t="s">
        <v>211</v>
      </c>
      <c r="Z51" s="117" t="s">
        <v>211</v>
      </c>
    </row>
    <row r="52" spans="1:26" ht="15" customHeight="1">
      <c r="A52" t="s">
        <v>2</v>
      </c>
      <c r="E52" s="82"/>
      <c r="F52" s="82"/>
      <c r="G52" s="82"/>
      <c r="H52" s="82"/>
      <c r="I52" s="82"/>
      <c r="J52" s="82"/>
      <c r="K52" s="82"/>
      <c r="L52" s="82"/>
      <c r="M52" s="82"/>
      <c r="N52" s="82"/>
      <c r="O52" s="82"/>
      <c r="P52" s="82"/>
      <c r="Q52" s="82"/>
      <c r="R52" s="82"/>
      <c r="S52" s="82"/>
      <c r="T52" s="82"/>
      <c r="U52" s="82"/>
      <c r="V52" s="82"/>
      <c r="W52" s="82"/>
      <c r="X52" s="82"/>
      <c r="Y52" s="117"/>
      <c r="Z52" s="117"/>
    </row>
    <row r="53" spans="1:26" ht="15" customHeight="1">
      <c r="B53" s="23" t="s">
        <v>70</v>
      </c>
      <c r="E53" s="82"/>
      <c r="F53" s="82"/>
      <c r="G53" s="82"/>
      <c r="H53" s="82"/>
      <c r="I53" s="82"/>
      <c r="J53" s="82"/>
      <c r="K53" s="82"/>
      <c r="L53" s="82"/>
      <c r="M53" s="82"/>
      <c r="N53" s="82"/>
      <c r="O53" s="82"/>
      <c r="P53" s="82"/>
      <c r="Q53" s="82"/>
      <c r="R53" s="82"/>
      <c r="S53" s="82"/>
      <c r="T53" s="82"/>
      <c r="U53" s="82"/>
      <c r="V53" s="82"/>
      <c r="W53" s="82"/>
      <c r="X53" s="82"/>
      <c r="Y53" s="117"/>
      <c r="Z53" s="117"/>
    </row>
    <row r="54" spans="1:26" ht="15" customHeight="1">
      <c r="C54" s="24" t="s">
        <v>82</v>
      </c>
      <c r="D54" s="114" t="s">
        <v>269</v>
      </c>
      <c r="E54" s="82">
        <v>10314.045925911199</v>
      </c>
      <c r="F54" s="82">
        <v>10090.293799052301</v>
      </c>
      <c r="G54" s="82">
        <v>9866.4120977737894</v>
      </c>
      <c r="H54" s="82">
        <v>8575.4245070607594</v>
      </c>
      <c r="I54" s="82">
        <v>8550.6423972672492</v>
      </c>
      <c r="J54" s="82">
        <v>8940.1683437351003</v>
      </c>
      <c r="K54" s="82">
        <v>7738.6806597150298</v>
      </c>
      <c r="L54" s="82">
        <v>6589.0221172552501</v>
      </c>
      <c r="M54" s="82">
        <v>6326.3068192915198</v>
      </c>
      <c r="N54" s="82">
        <v>4482.3866606915199</v>
      </c>
      <c r="O54" s="82">
        <v>3747.8835079999999</v>
      </c>
      <c r="P54" s="82">
        <v>3930.0245319503501</v>
      </c>
      <c r="Q54" s="82">
        <v>3899.7105794469899</v>
      </c>
      <c r="R54" s="82">
        <v>3958.0886049178998</v>
      </c>
      <c r="S54" s="82">
        <v>4155.0423827000004</v>
      </c>
      <c r="T54" s="82">
        <v>4093.0584985825299</v>
      </c>
      <c r="U54" s="82">
        <v>3868.1808850989</v>
      </c>
      <c r="V54" s="82">
        <v>3546.0598018655801</v>
      </c>
      <c r="W54" s="82">
        <v>3327.6216911894198</v>
      </c>
      <c r="X54" s="82">
        <v>3356.6626275675699</v>
      </c>
      <c r="Y54" s="117">
        <v>2408.98490543253</v>
      </c>
      <c r="Z54" s="117">
        <v>2380.4322132806601</v>
      </c>
    </row>
    <row r="55" spans="1:26" ht="15" customHeight="1">
      <c r="C55" s="24" t="s">
        <v>83</v>
      </c>
      <c r="D55" s="114" t="s">
        <v>269</v>
      </c>
      <c r="E55" s="82">
        <v>1594.2266500000001</v>
      </c>
      <c r="F55" s="82">
        <v>1819.0235666666699</v>
      </c>
      <c r="G55" s="82">
        <v>2936.413</v>
      </c>
      <c r="H55" s="82">
        <v>3779.33</v>
      </c>
      <c r="I55" s="82">
        <v>4051.77506900341</v>
      </c>
      <c r="J55" s="82">
        <v>4270.4210000000003</v>
      </c>
      <c r="K55" s="82">
        <v>4746.4350000000004</v>
      </c>
      <c r="L55" s="82">
        <v>4555.160742</v>
      </c>
      <c r="M55" s="82">
        <v>5224.2122490000002</v>
      </c>
      <c r="N55" s="82">
        <v>5065.8326489999999</v>
      </c>
      <c r="O55" s="82">
        <v>5505.6189042779297</v>
      </c>
      <c r="P55" s="82">
        <v>6969.1873872685701</v>
      </c>
      <c r="Q55" s="82">
        <v>8461.1909173580807</v>
      </c>
      <c r="R55" s="82">
        <v>9778.8814297761292</v>
      </c>
      <c r="S55" s="82">
        <v>11362.16956878</v>
      </c>
      <c r="T55" s="82">
        <v>11266.2374239</v>
      </c>
      <c r="U55" s="82">
        <v>11589.593758000001</v>
      </c>
      <c r="V55" s="82">
        <v>8343.1887139868995</v>
      </c>
      <c r="W55" s="82">
        <v>7003.7970307215201</v>
      </c>
      <c r="X55" s="82">
        <v>7702.4451410347801</v>
      </c>
      <c r="Y55" s="117">
        <v>8485.9440050105804</v>
      </c>
      <c r="Z55" s="117">
        <v>7133.34858430655</v>
      </c>
    </row>
    <row r="56" spans="1:26" ht="15" customHeight="1">
      <c r="C56" s="11" t="s">
        <v>386</v>
      </c>
      <c r="D56" s="114" t="s">
        <v>269</v>
      </c>
      <c r="E56" s="82">
        <v>13910.753220000001</v>
      </c>
      <c r="F56" s="82">
        <v>14588.642777503699</v>
      </c>
      <c r="G56" s="82">
        <v>14195.532779123299</v>
      </c>
      <c r="H56" s="82">
        <v>14379.4010706301</v>
      </c>
      <c r="I56" s="82">
        <v>14589.5885867815</v>
      </c>
      <c r="J56" s="82">
        <v>15157.1684981297</v>
      </c>
      <c r="K56" s="82">
        <v>13313.687670109501</v>
      </c>
      <c r="L56" s="82">
        <v>14418.4963941644</v>
      </c>
      <c r="M56" s="82">
        <v>14981.0727118541</v>
      </c>
      <c r="N56" s="82">
        <v>13948.6608954851</v>
      </c>
      <c r="O56" s="82">
        <v>13618.2836333501</v>
      </c>
      <c r="P56" s="82">
        <v>14366.84397036</v>
      </c>
      <c r="Q56" s="82">
        <v>14929.0625027765</v>
      </c>
      <c r="R56" s="82">
        <v>16346.0479855126</v>
      </c>
      <c r="S56" s="82">
        <v>17688.970249761798</v>
      </c>
      <c r="T56" s="82">
        <v>17580.0081394689</v>
      </c>
      <c r="U56" s="82">
        <v>17141.698521194601</v>
      </c>
      <c r="V56" s="82">
        <v>17591.857116803101</v>
      </c>
      <c r="W56" s="82">
        <v>16765.7355595437</v>
      </c>
      <c r="X56" s="82">
        <v>14924.175019187</v>
      </c>
      <c r="Y56" s="117">
        <v>13953.4501098542</v>
      </c>
      <c r="Z56" s="117">
        <v>13855.309836780199</v>
      </c>
    </row>
    <row r="57" spans="1:26" ht="15" customHeight="1">
      <c r="A57" s="25"/>
      <c r="B57" s="25"/>
      <c r="C57" s="27" t="s">
        <v>303</v>
      </c>
      <c r="D57" s="115" t="s">
        <v>269</v>
      </c>
      <c r="E57" s="91">
        <v>25819.025795911199</v>
      </c>
      <c r="F57" s="91">
        <v>26497.960143222601</v>
      </c>
      <c r="G57" s="91">
        <v>26998.357876897098</v>
      </c>
      <c r="H57" s="91">
        <v>26734.155577690901</v>
      </c>
      <c r="I57" s="91">
        <v>27192.006053052199</v>
      </c>
      <c r="J57" s="91">
        <v>28367.757841864801</v>
      </c>
      <c r="K57" s="91">
        <v>25798.803329824499</v>
      </c>
      <c r="L57" s="91">
        <v>25562.679253419701</v>
      </c>
      <c r="M57" s="91">
        <v>26531.591780145602</v>
      </c>
      <c r="N57" s="91">
        <v>23496.8802051766</v>
      </c>
      <c r="O57" s="91">
        <v>22871.786045628</v>
      </c>
      <c r="P57" s="91">
        <v>25266.0558895789</v>
      </c>
      <c r="Q57" s="91">
        <v>27289.9639995816</v>
      </c>
      <c r="R57" s="91">
        <v>30083.0180202066</v>
      </c>
      <c r="S57" s="91">
        <v>33206.182201241798</v>
      </c>
      <c r="T57" s="91">
        <v>32939.304061951399</v>
      </c>
      <c r="U57" s="91">
        <v>32599.4731642935</v>
      </c>
      <c r="V57" s="91">
        <v>29481.105632655599</v>
      </c>
      <c r="W57" s="91">
        <v>27097.154281454601</v>
      </c>
      <c r="X57" s="91">
        <v>25983.282787789401</v>
      </c>
      <c r="Y57" s="91">
        <v>24848.3790202973</v>
      </c>
      <c r="Z57" s="91">
        <v>23369.0906343674</v>
      </c>
    </row>
    <row r="58" spans="1:26" ht="27.75" customHeight="1">
      <c r="E58" s="169" t="s">
        <v>416</v>
      </c>
      <c r="F58" s="167"/>
      <c r="G58" s="167"/>
      <c r="H58" s="167"/>
      <c r="I58" s="167"/>
      <c r="J58" s="167"/>
      <c r="K58" s="167"/>
      <c r="L58" s="167"/>
      <c r="M58" s="167"/>
      <c r="N58" s="167"/>
      <c r="O58" s="167"/>
      <c r="P58" s="167"/>
      <c r="Q58" s="167"/>
      <c r="R58" s="167"/>
      <c r="S58" s="167"/>
      <c r="T58" s="167"/>
      <c r="U58" s="167"/>
      <c r="V58" s="167"/>
      <c r="W58" s="167"/>
      <c r="X58" s="167"/>
      <c r="Y58" s="167"/>
      <c r="Z58" s="167"/>
    </row>
    <row r="59" spans="1:26" ht="12" customHeight="1">
      <c r="A59" t="s">
        <v>2</v>
      </c>
      <c r="X59" s="103"/>
    </row>
    <row r="60" spans="1:26" ht="12" customHeight="1">
      <c r="A60" t="s">
        <v>2</v>
      </c>
    </row>
    <row r="61" spans="1:26" ht="12" customHeight="1">
      <c r="A61" t="s">
        <v>2</v>
      </c>
    </row>
    <row r="62" spans="1:26" ht="12" customHeight="1">
      <c r="A62" t="s">
        <v>2</v>
      </c>
    </row>
    <row r="63" spans="1:26" ht="12" customHeight="1">
      <c r="A63" t="s">
        <v>2</v>
      </c>
    </row>
    <row r="64" spans="1:26" ht="13.5" customHeight="1">
      <c r="A64" t="s">
        <v>2</v>
      </c>
    </row>
    <row r="65" spans="1:1" ht="13.5" customHeight="1">
      <c r="A65" t="s">
        <v>2</v>
      </c>
    </row>
    <row r="66" spans="1:1" ht="13.5" customHeight="1">
      <c r="A66" t="s">
        <v>2</v>
      </c>
    </row>
    <row r="67" spans="1:1" ht="13.5" customHeight="1">
      <c r="A67" t="s">
        <v>2</v>
      </c>
    </row>
    <row r="68" spans="1:1" ht="13.5" customHeight="1"/>
    <row r="69" spans="1:1" ht="13.5" customHeight="1"/>
    <row r="70" spans="1:1" ht="13.5" customHeight="1"/>
    <row r="71" spans="1:1" ht="13.5" customHeight="1"/>
    <row r="72" spans="1:1" ht="13.5" customHeight="1"/>
    <row r="73" spans="1:1" ht="13.5" customHeight="1"/>
    <row r="74" spans="1:1" ht="13.5" customHeight="1"/>
    <row r="75" spans="1:1" ht="13.5" customHeight="1"/>
    <row r="76" spans="1:1" ht="13.5" customHeight="1"/>
    <row r="77" spans="1:1" ht="13.5" customHeight="1"/>
    <row r="78" spans="1:1" ht="13.5" customHeight="1"/>
    <row r="79" spans="1:1" ht="13.5" customHeight="1"/>
    <row r="80" spans="1:1" ht="13.5" customHeight="1"/>
    <row r="81" ht="13.5" customHeight="1"/>
    <row r="82" ht="13.5" customHeight="1"/>
    <row r="83" ht="13.5" customHeight="1"/>
    <row r="84" ht="13.5" customHeight="1"/>
    <row r="85" ht="13.5" customHeight="1"/>
  </sheetData>
  <mergeCells count="2">
    <mergeCell ref="A2:X2"/>
    <mergeCell ref="E58:Z58"/>
  </mergeCells>
  <conditionalFormatting sqref="E6:Z57">
    <cfRule type="cellIs" dxfId="54" priority="1"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8C2B8-5179-43CB-98FF-8713FA0E67D4}">
  <dimension ref="A1:Z67"/>
  <sheetViews>
    <sheetView topLeftCell="A14" zoomScaleNormal="100" workbookViewId="0">
      <pane xSplit="4" topLeftCell="N1" activePane="topRight" state="frozen"/>
      <selection activeCell="A13" sqref="A13:N13"/>
      <selection pane="topRight" activeCell="A13" sqref="A13:N13"/>
    </sheetView>
  </sheetViews>
  <sheetFormatPr defaultColWidth="9.26953125" defaultRowHeight="14.5"/>
  <cols>
    <col min="1" max="2" width="3" customWidth="1"/>
    <col min="3" max="3" width="18" bestFit="1" customWidth="1"/>
    <col min="4" max="4" width="4.7265625" style="61" bestFit="1" customWidth="1"/>
    <col min="5" max="26" width="8.1796875" bestFit="1" customWidth="1"/>
    <col min="27" max="27" width="9" customWidth="1"/>
  </cols>
  <sheetData>
    <row r="1" spans="1:26" ht="71.25" customHeight="1">
      <c r="A1" t="s">
        <v>2</v>
      </c>
    </row>
    <row r="2" spans="1:26" ht="21">
      <c r="A2" s="162" t="s">
        <v>275</v>
      </c>
      <c r="B2" s="162"/>
      <c r="C2" s="162"/>
      <c r="D2" s="162"/>
      <c r="E2" s="162"/>
      <c r="F2" s="162"/>
      <c r="G2" s="162"/>
      <c r="H2" s="162"/>
      <c r="I2" s="162"/>
      <c r="J2" s="162"/>
      <c r="K2" s="162"/>
      <c r="L2" s="162"/>
      <c r="M2" s="162"/>
      <c r="N2" s="162"/>
      <c r="O2" s="162"/>
      <c r="P2" s="162"/>
      <c r="Q2" s="162"/>
      <c r="R2" s="162"/>
      <c r="S2" s="162"/>
      <c r="T2" s="162"/>
      <c r="U2" s="162"/>
      <c r="V2" s="162"/>
      <c r="W2" s="162"/>
      <c r="X2" s="162"/>
    </row>
    <row r="3" spans="1:26" s="21" customFormat="1" ht="12">
      <c r="A3" s="64" t="s">
        <v>38</v>
      </c>
      <c r="B3" s="64" t="s">
        <v>38</v>
      </c>
      <c r="C3" s="64" t="s">
        <v>38</v>
      </c>
      <c r="D3" s="66" t="s">
        <v>37</v>
      </c>
      <c r="E3" s="64" t="s">
        <v>297</v>
      </c>
      <c r="F3" s="64" t="s">
        <v>298</v>
      </c>
      <c r="G3" s="64" t="s">
        <v>299</v>
      </c>
      <c r="H3" s="64" t="s">
        <v>300</v>
      </c>
      <c r="I3" s="64" t="s">
        <v>281</v>
      </c>
      <c r="J3" s="64" t="s">
        <v>282</v>
      </c>
      <c r="K3" s="64" t="s">
        <v>283</v>
      </c>
      <c r="L3" s="64" t="s">
        <v>284</v>
      </c>
      <c r="M3" s="64" t="s">
        <v>285</v>
      </c>
      <c r="N3" s="64" t="s">
        <v>286</v>
      </c>
      <c r="O3" s="64" t="s">
        <v>287</v>
      </c>
      <c r="P3" s="64" t="s">
        <v>288</v>
      </c>
      <c r="Q3" s="64" t="s">
        <v>289</v>
      </c>
      <c r="R3" s="64" t="s">
        <v>290</v>
      </c>
      <c r="S3" s="64" t="s">
        <v>291</v>
      </c>
      <c r="T3" s="64" t="s">
        <v>292</v>
      </c>
      <c r="U3" s="64" t="s">
        <v>293</v>
      </c>
      <c r="V3" s="64" t="s">
        <v>294</v>
      </c>
      <c r="W3" s="64" t="s">
        <v>295</v>
      </c>
      <c r="X3" s="64" t="s">
        <v>305</v>
      </c>
      <c r="Y3" s="64" t="s">
        <v>313</v>
      </c>
      <c r="Z3" s="64" t="s">
        <v>328</v>
      </c>
    </row>
    <row r="4" spans="1:26">
      <c r="A4" s="23" t="s">
        <v>46</v>
      </c>
    </row>
    <row r="5" spans="1:26">
      <c r="B5" s="22" t="s">
        <v>266</v>
      </c>
    </row>
    <row r="6" spans="1:26">
      <c r="C6" s="11" t="s">
        <v>387</v>
      </c>
      <c r="D6" s="60" t="s">
        <v>47</v>
      </c>
      <c r="E6" s="82">
        <v>126.033425427183</v>
      </c>
      <c r="F6" s="82">
        <v>131.959482381941</v>
      </c>
      <c r="G6" s="82">
        <v>132.8184712865</v>
      </c>
      <c r="H6" s="82">
        <v>142.498535641389</v>
      </c>
      <c r="I6" s="82">
        <v>143.34758046726299</v>
      </c>
      <c r="J6" s="82">
        <v>145.56409174088799</v>
      </c>
      <c r="K6" s="82">
        <v>127.753455275877</v>
      </c>
      <c r="L6" s="82">
        <v>121.10923862912</v>
      </c>
      <c r="M6" s="82">
        <v>98.134306359451998</v>
      </c>
      <c r="N6" s="82">
        <v>108.89097181098499</v>
      </c>
      <c r="O6" s="82">
        <v>96.7472802608347</v>
      </c>
      <c r="P6" s="82">
        <v>103.671050723623</v>
      </c>
      <c r="Q6" s="82">
        <v>114.817991291742</v>
      </c>
      <c r="R6" s="82">
        <v>109.537172959606</v>
      </c>
      <c r="S6" s="82">
        <v>126.663923350627</v>
      </c>
      <c r="T6" s="82">
        <v>128.50268277604701</v>
      </c>
      <c r="U6" s="82">
        <v>135.32067413445901</v>
      </c>
      <c r="V6" s="82">
        <v>92.747490142896595</v>
      </c>
      <c r="W6" s="82">
        <v>62.177424424431301</v>
      </c>
      <c r="X6" s="82">
        <v>86.486807058352497</v>
      </c>
      <c r="Y6" s="82">
        <v>88.205575093432202</v>
      </c>
      <c r="Z6" s="82">
        <v>100.789015791127</v>
      </c>
    </row>
    <row r="7" spans="1:26">
      <c r="C7" s="24" t="s">
        <v>83</v>
      </c>
      <c r="D7" s="60" t="s">
        <v>47</v>
      </c>
      <c r="E7" s="82">
        <v>5.0411314469999997</v>
      </c>
      <c r="F7" s="82">
        <v>6.2153167119999999</v>
      </c>
      <c r="G7" s="82">
        <v>9.2299509410000002</v>
      </c>
      <c r="H7" s="82">
        <v>7.2819525000000001</v>
      </c>
      <c r="I7" s="82">
        <v>7.0205799999999998</v>
      </c>
      <c r="J7" s="82">
        <v>12.4832401</v>
      </c>
      <c r="K7" s="82">
        <v>12.35713046</v>
      </c>
      <c r="L7" s="82">
        <v>12.632913272322099</v>
      </c>
      <c r="M7" s="82">
        <v>19.796273117283299</v>
      </c>
      <c r="N7" s="82">
        <v>13.265786352705</v>
      </c>
      <c r="O7" s="82">
        <v>10.078222659231701</v>
      </c>
      <c r="P7" s="82">
        <v>7.01624835161397</v>
      </c>
      <c r="Q7" s="82">
        <v>5.9304656199999997</v>
      </c>
      <c r="R7" s="82">
        <v>5.09170225</v>
      </c>
      <c r="S7" s="82">
        <v>6.8439661200000002</v>
      </c>
      <c r="T7" s="82">
        <v>21.942682063175099</v>
      </c>
      <c r="U7" s="82">
        <v>30.6786001220771</v>
      </c>
      <c r="V7" s="82">
        <v>28.7539816991736</v>
      </c>
      <c r="W7" s="82">
        <v>32.403172653753202</v>
      </c>
      <c r="X7" s="82">
        <v>24.281799197831401</v>
      </c>
      <c r="Y7" s="82">
        <v>23.6105132464196</v>
      </c>
      <c r="Z7" s="82">
        <v>35.034017808788398</v>
      </c>
    </row>
    <row r="8" spans="1:26">
      <c r="C8" s="11" t="s">
        <v>384</v>
      </c>
      <c r="D8" s="60" t="s">
        <v>47</v>
      </c>
      <c r="E8" s="82">
        <v>162.98143167090001</v>
      </c>
      <c r="F8" s="82">
        <v>169.78408289000001</v>
      </c>
      <c r="G8" s="82">
        <v>188.095724832</v>
      </c>
      <c r="H8" s="82">
        <v>193.20137107439999</v>
      </c>
      <c r="I8" s="82">
        <v>199.179413518731</v>
      </c>
      <c r="J8" s="82">
        <v>221.0512617787</v>
      </c>
      <c r="K8" s="82">
        <v>212.449397055552</v>
      </c>
      <c r="L8" s="82">
        <v>241.47090771131201</v>
      </c>
      <c r="M8" s="82">
        <v>262.19111138564398</v>
      </c>
      <c r="N8" s="82">
        <v>251.22464735120701</v>
      </c>
      <c r="O8" s="82">
        <v>227.56735298215901</v>
      </c>
      <c r="P8" s="82">
        <v>317.11192995584503</v>
      </c>
      <c r="Q8" s="82">
        <v>344.78154297766997</v>
      </c>
      <c r="R8" s="82">
        <v>343.507646000671</v>
      </c>
      <c r="S8" s="82">
        <v>373.61469852675498</v>
      </c>
      <c r="T8" s="82">
        <v>398.26013745711498</v>
      </c>
      <c r="U8" s="82">
        <v>348.11014594497101</v>
      </c>
      <c r="V8" s="82">
        <v>420.86483681995799</v>
      </c>
      <c r="W8" s="82">
        <v>360.81427178231399</v>
      </c>
      <c r="X8" s="82">
        <v>284.81670038722302</v>
      </c>
      <c r="Y8" s="82">
        <v>285.18573018249998</v>
      </c>
      <c r="Z8" s="82">
        <v>304.37153434550697</v>
      </c>
    </row>
    <row r="9" spans="1:26">
      <c r="C9" s="11" t="s">
        <v>385</v>
      </c>
      <c r="D9" s="60" t="s">
        <v>47</v>
      </c>
      <c r="E9" s="82">
        <v>294.05598854508298</v>
      </c>
      <c r="F9" s="82">
        <v>307.95888198394101</v>
      </c>
      <c r="G9" s="82">
        <v>330.14414705950003</v>
      </c>
      <c r="H9" s="82">
        <v>342.98185921578897</v>
      </c>
      <c r="I9" s="82">
        <v>349.54757398599401</v>
      </c>
      <c r="J9" s="82">
        <v>379.09859361958797</v>
      </c>
      <c r="K9" s="82">
        <v>352.55998279142898</v>
      </c>
      <c r="L9" s="82">
        <v>375.21305961275402</v>
      </c>
      <c r="M9" s="82">
        <v>380.12169086237998</v>
      </c>
      <c r="N9" s="82">
        <v>373.38140551489698</v>
      </c>
      <c r="O9" s="82">
        <v>334.39285590222499</v>
      </c>
      <c r="P9" s="82">
        <v>427.79922903108201</v>
      </c>
      <c r="Q9" s="82">
        <v>465.52999988941099</v>
      </c>
      <c r="R9" s="82">
        <v>458.13652121027599</v>
      </c>
      <c r="S9" s="82">
        <v>507.12258799738203</v>
      </c>
      <c r="T9" s="82">
        <v>548.70550229633704</v>
      </c>
      <c r="U9" s="82">
        <v>514.10942020150696</v>
      </c>
      <c r="V9" s="82">
        <v>542.36630866202802</v>
      </c>
      <c r="W9" s="82">
        <v>455.39486886049798</v>
      </c>
      <c r="X9" s="82">
        <v>395.58530664340702</v>
      </c>
      <c r="Y9" s="82">
        <v>397.00181852235198</v>
      </c>
      <c r="Z9" s="82">
        <v>440.19456794542299</v>
      </c>
    </row>
    <row r="10" spans="1:26">
      <c r="A10" t="s">
        <v>2</v>
      </c>
      <c r="E10" s="82"/>
      <c r="F10" s="82"/>
      <c r="G10" s="82"/>
      <c r="H10" s="82"/>
      <c r="I10" s="82"/>
      <c r="J10" s="82"/>
      <c r="K10" s="82"/>
      <c r="L10" s="82"/>
      <c r="M10" s="82"/>
      <c r="N10" s="82"/>
      <c r="O10" s="82"/>
      <c r="P10" s="82"/>
      <c r="Q10" s="82"/>
      <c r="R10" s="82"/>
      <c r="S10" s="82"/>
      <c r="T10" s="82"/>
      <c r="U10" s="82"/>
      <c r="V10" s="82"/>
      <c r="W10" s="82"/>
      <c r="X10" s="82"/>
      <c r="Y10" s="82"/>
      <c r="Z10" s="82"/>
    </row>
    <row r="11" spans="1:26">
      <c r="B11" s="23" t="s">
        <v>63</v>
      </c>
      <c r="E11" s="82"/>
      <c r="F11" s="82"/>
      <c r="G11" s="82"/>
      <c r="H11" s="82"/>
      <c r="I11" s="82"/>
      <c r="J11" s="82"/>
      <c r="K11" s="82"/>
      <c r="L11" s="82"/>
      <c r="M11" s="82"/>
      <c r="N11" s="82"/>
      <c r="O11" s="82"/>
      <c r="P11" s="82"/>
      <c r="Q11" s="82"/>
      <c r="R11" s="82"/>
      <c r="S11" s="82"/>
      <c r="T11" s="82"/>
      <c r="U11" s="82"/>
      <c r="V11" s="82"/>
      <c r="W11" s="82"/>
      <c r="X11" s="82"/>
      <c r="Y11" s="82"/>
      <c r="Z11" s="82"/>
    </row>
    <row r="12" spans="1:26">
      <c r="C12" s="24" t="s">
        <v>82</v>
      </c>
      <c r="D12" s="60" t="s">
        <v>47</v>
      </c>
      <c r="E12" s="82">
        <v>138.28406996000001</v>
      </c>
      <c r="F12" s="82">
        <v>142.2247785173</v>
      </c>
      <c r="G12" s="82">
        <v>154.4555941843</v>
      </c>
      <c r="H12" s="82">
        <v>148.28263949430001</v>
      </c>
      <c r="I12" s="82">
        <v>111.846682536874</v>
      </c>
      <c r="J12" s="82">
        <v>131.682047552591</v>
      </c>
      <c r="K12" s="82">
        <v>130.485816554331</v>
      </c>
      <c r="L12" s="82">
        <v>134.68582605724001</v>
      </c>
      <c r="M12" s="82">
        <v>138.039958949279</v>
      </c>
      <c r="N12" s="82">
        <v>122.781001746694</v>
      </c>
      <c r="O12" s="82">
        <v>109.321552189174</v>
      </c>
      <c r="P12" s="82">
        <v>108.184394634801</v>
      </c>
      <c r="Q12" s="82">
        <v>109.731083785588</v>
      </c>
      <c r="R12" s="82">
        <v>111.96639648049501</v>
      </c>
      <c r="S12" s="82">
        <v>110.955362078484</v>
      </c>
      <c r="T12" s="82">
        <v>103.484586553955</v>
      </c>
      <c r="U12" s="82">
        <v>95.644941387190002</v>
      </c>
      <c r="V12" s="82">
        <v>86.826742978373005</v>
      </c>
      <c r="W12" s="82">
        <v>90.122301314338003</v>
      </c>
      <c r="X12" s="82">
        <v>96.707259698637998</v>
      </c>
      <c r="Y12" s="82">
        <v>23.300805073886</v>
      </c>
      <c r="Z12" s="82">
        <v>3.6967289112332198</v>
      </c>
    </row>
    <row r="13" spans="1:26">
      <c r="C13" s="24" t="s">
        <v>83</v>
      </c>
      <c r="D13" s="60" t="s">
        <v>47</v>
      </c>
      <c r="E13" s="82">
        <v>14.248495</v>
      </c>
      <c r="F13" s="82">
        <v>14.5</v>
      </c>
      <c r="G13" s="82">
        <v>18.794933</v>
      </c>
      <c r="H13" s="82">
        <v>20.335884</v>
      </c>
      <c r="I13" s="82">
        <v>21.5176045508857</v>
      </c>
      <c r="J13" s="82">
        <v>29.170334879999999</v>
      </c>
      <c r="K13" s="82">
        <v>42.936152079999999</v>
      </c>
      <c r="L13" s="82">
        <v>46.790594740105597</v>
      </c>
      <c r="M13" s="82">
        <v>56.970754182599997</v>
      </c>
      <c r="N13" s="82">
        <v>107.00887004000001</v>
      </c>
      <c r="O13" s="82">
        <v>111.758100432943</v>
      </c>
      <c r="P13" s="82">
        <v>151.112164198952</v>
      </c>
      <c r="Q13" s="82">
        <v>195.75960364513699</v>
      </c>
      <c r="R13" s="82">
        <v>194.31708982031199</v>
      </c>
      <c r="S13" s="82">
        <v>297.74104652143399</v>
      </c>
      <c r="T13" s="82">
        <v>262.25043711059999</v>
      </c>
      <c r="U13" s="82">
        <v>301.64614308077398</v>
      </c>
      <c r="V13" s="82">
        <v>202.701552981432</v>
      </c>
      <c r="W13" s="82">
        <v>154.09621365158401</v>
      </c>
      <c r="X13" s="82">
        <v>194.25084953699999</v>
      </c>
      <c r="Y13" s="82">
        <v>253.84975713879999</v>
      </c>
      <c r="Z13" s="82">
        <v>196.05963669687</v>
      </c>
    </row>
    <row r="14" spans="1:26">
      <c r="C14" s="24" t="s">
        <v>42</v>
      </c>
      <c r="D14" s="60" t="s">
        <v>47</v>
      </c>
      <c r="E14" s="82">
        <v>188.19656584000001</v>
      </c>
      <c r="F14" s="82">
        <v>217.99672680200001</v>
      </c>
      <c r="G14" s="82">
        <v>240.97117027799999</v>
      </c>
      <c r="H14" s="82">
        <v>247.29936598</v>
      </c>
      <c r="I14" s="82">
        <v>242.997129385504</v>
      </c>
      <c r="J14" s="82">
        <v>221.24545600936599</v>
      </c>
      <c r="K14" s="82">
        <v>239.202337426452</v>
      </c>
      <c r="L14" s="82">
        <v>233.49279727026101</v>
      </c>
      <c r="M14" s="82">
        <v>253.59323989609501</v>
      </c>
      <c r="N14" s="82">
        <v>227.430648535025</v>
      </c>
      <c r="O14" s="82">
        <v>239.39666007216101</v>
      </c>
      <c r="P14" s="82">
        <v>268.899895603625</v>
      </c>
      <c r="Q14" s="82">
        <v>280.71283577401101</v>
      </c>
      <c r="R14" s="82">
        <v>292.6240748834</v>
      </c>
      <c r="S14" s="82">
        <v>321.15953429646999</v>
      </c>
      <c r="T14" s="82">
        <v>341.48371588126997</v>
      </c>
      <c r="U14" s="82">
        <v>336.65477139951997</v>
      </c>
      <c r="V14" s="82">
        <v>344.28801557561002</v>
      </c>
      <c r="W14" s="82">
        <v>319.39675146892898</v>
      </c>
      <c r="X14" s="82">
        <v>324.86548771622302</v>
      </c>
      <c r="Y14" s="82">
        <v>388.05704549568998</v>
      </c>
      <c r="Z14" s="82">
        <v>409.14607327703402</v>
      </c>
    </row>
    <row r="15" spans="1:26">
      <c r="C15" s="24" t="s">
        <v>43</v>
      </c>
      <c r="D15" s="60" t="s">
        <v>47</v>
      </c>
      <c r="E15" s="82">
        <v>340.72913080000001</v>
      </c>
      <c r="F15" s="82">
        <v>374.72150531929998</v>
      </c>
      <c r="G15" s="82">
        <v>414.22169746230003</v>
      </c>
      <c r="H15" s="82">
        <v>415.91788947430001</v>
      </c>
      <c r="I15" s="82">
        <v>376.361416473264</v>
      </c>
      <c r="J15" s="82">
        <v>382.09783844195698</v>
      </c>
      <c r="K15" s="82">
        <v>412.62430606078198</v>
      </c>
      <c r="L15" s="82">
        <v>414.96921806760702</v>
      </c>
      <c r="M15" s="82">
        <v>448.60395302797298</v>
      </c>
      <c r="N15" s="82">
        <v>457.22052032172002</v>
      </c>
      <c r="O15" s="82">
        <v>460.47631269427802</v>
      </c>
      <c r="P15" s="82">
        <v>528.19645443737795</v>
      </c>
      <c r="Q15" s="82">
        <v>586.20352320473603</v>
      </c>
      <c r="R15" s="82">
        <v>598.907561184207</v>
      </c>
      <c r="S15" s="82">
        <v>729.855942896388</v>
      </c>
      <c r="T15" s="82">
        <v>707.21873954582497</v>
      </c>
      <c r="U15" s="82">
        <v>733.94585586748303</v>
      </c>
      <c r="V15" s="82">
        <v>633.81631153541605</v>
      </c>
      <c r="W15" s="82">
        <v>563.61526643485104</v>
      </c>
      <c r="X15" s="82">
        <v>615.82359695186096</v>
      </c>
      <c r="Y15" s="82">
        <v>665.20760770837603</v>
      </c>
      <c r="Z15" s="82">
        <v>608.90243888513703</v>
      </c>
    </row>
    <row r="16" spans="1:26">
      <c r="A16" t="s">
        <v>2</v>
      </c>
      <c r="E16" s="82"/>
      <c r="F16" s="82"/>
      <c r="G16" s="82"/>
      <c r="H16" s="82"/>
      <c r="I16" s="82"/>
      <c r="J16" s="82"/>
      <c r="K16" s="82"/>
      <c r="L16" s="82"/>
      <c r="M16" s="82"/>
      <c r="N16" s="82"/>
      <c r="O16" s="82"/>
      <c r="P16" s="82"/>
      <c r="Q16" s="82"/>
      <c r="R16" s="82"/>
      <c r="S16" s="82"/>
      <c r="T16" s="82"/>
      <c r="U16" s="82"/>
      <c r="V16" s="82"/>
      <c r="W16" s="82"/>
      <c r="X16" s="82"/>
      <c r="Y16" s="82"/>
      <c r="Z16" s="82"/>
    </row>
    <row r="17" spans="1:26">
      <c r="B17" s="23" t="s">
        <v>64</v>
      </c>
      <c r="E17" s="82"/>
      <c r="F17" s="82"/>
      <c r="G17" s="82"/>
      <c r="H17" s="82"/>
      <c r="I17" s="82"/>
      <c r="J17" s="82"/>
      <c r="K17" s="82"/>
      <c r="L17" s="82"/>
      <c r="M17" s="82"/>
      <c r="N17" s="82"/>
      <c r="O17" s="82"/>
      <c r="P17" s="82"/>
      <c r="Q17" s="82"/>
      <c r="R17" s="82"/>
      <c r="S17" s="82"/>
      <c r="T17" s="82"/>
      <c r="U17" s="82"/>
      <c r="V17" s="82"/>
      <c r="W17" s="82"/>
      <c r="X17" s="82"/>
      <c r="Y17" s="82"/>
      <c r="Z17" s="82"/>
    </row>
    <row r="18" spans="1:26">
      <c r="C18" s="24" t="s">
        <v>82</v>
      </c>
      <c r="D18" s="60" t="s">
        <v>47</v>
      </c>
      <c r="E18" s="82">
        <v>34.270724891625001</v>
      </c>
      <c r="F18" s="82">
        <v>38.412766598569497</v>
      </c>
      <c r="G18" s="82">
        <v>34.175701658768098</v>
      </c>
      <c r="H18" s="82">
        <v>40.017141965615302</v>
      </c>
      <c r="I18" s="82">
        <v>45.606190764062902</v>
      </c>
      <c r="J18" s="82">
        <v>51.352622187944696</v>
      </c>
      <c r="K18" s="82">
        <v>43.941770586218396</v>
      </c>
      <c r="L18" s="82">
        <v>35.962323422492503</v>
      </c>
      <c r="M18" s="82">
        <v>38.145325023372699</v>
      </c>
      <c r="N18" s="82">
        <v>38.257459683372701</v>
      </c>
      <c r="O18" s="82">
        <v>37.475889909999999</v>
      </c>
      <c r="P18" s="82">
        <v>39.4719171009897</v>
      </c>
      <c r="Q18" s="82">
        <v>38.072138288433003</v>
      </c>
      <c r="R18" s="82">
        <v>43.3029716073777</v>
      </c>
      <c r="S18" s="82">
        <v>42.3754823222108</v>
      </c>
      <c r="T18" s="82">
        <v>39.652783719412703</v>
      </c>
      <c r="U18" s="82">
        <v>54.106145937963298</v>
      </c>
      <c r="V18" s="82">
        <v>46.342975551411001</v>
      </c>
      <c r="W18" s="82">
        <v>48.468098793562802</v>
      </c>
      <c r="X18" s="82">
        <v>49.9655361153388</v>
      </c>
      <c r="Y18" s="82">
        <v>50.268269299917002</v>
      </c>
      <c r="Z18" s="82">
        <v>51.519733192192298</v>
      </c>
    </row>
    <row r="19" spans="1:26">
      <c r="C19" s="24" t="s">
        <v>83</v>
      </c>
      <c r="D19" s="60" t="s">
        <v>47</v>
      </c>
      <c r="E19" s="82">
        <v>0.57942333999999995</v>
      </c>
      <c r="F19" s="82">
        <v>1.3640579999999999E-2</v>
      </c>
      <c r="G19" s="82">
        <v>4.6499999999999996E-3</v>
      </c>
      <c r="H19" s="82">
        <v>0.16</v>
      </c>
      <c r="I19" s="82">
        <v>0</v>
      </c>
      <c r="J19" s="82">
        <v>0</v>
      </c>
      <c r="K19" s="82">
        <v>0.11907893999999999</v>
      </c>
      <c r="L19" s="82">
        <v>0.13281799999999999</v>
      </c>
      <c r="M19" s="82">
        <v>0.31844445999999998</v>
      </c>
      <c r="N19" s="82">
        <v>1.2219495199999999</v>
      </c>
      <c r="O19" s="82">
        <v>0.47030767000000001</v>
      </c>
      <c r="P19" s="82">
        <v>0.378979981523349</v>
      </c>
      <c r="Q19" s="82">
        <v>1.5431569999999999</v>
      </c>
      <c r="R19" s="82">
        <v>0.94943420000000001</v>
      </c>
      <c r="S19" s="82">
        <v>1.1054312426345301</v>
      </c>
      <c r="T19" s="82">
        <v>0</v>
      </c>
      <c r="U19" s="82">
        <v>0</v>
      </c>
      <c r="V19" s="82">
        <v>2.7071592835582501</v>
      </c>
      <c r="W19" s="82">
        <v>8.7507505927073694</v>
      </c>
      <c r="X19" s="82">
        <v>3.3580562963229199</v>
      </c>
      <c r="Y19" s="82">
        <v>0.82539380109633897</v>
      </c>
      <c r="Z19" s="82">
        <v>0.11876875000000001</v>
      </c>
    </row>
    <row r="20" spans="1:26">
      <c r="C20" s="11" t="s">
        <v>386</v>
      </c>
      <c r="D20" s="60" t="s">
        <v>47</v>
      </c>
      <c r="E20" s="82">
        <v>159.39620572726801</v>
      </c>
      <c r="F20" s="82">
        <v>177.374431581263</v>
      </c>
      <c r="G20" s="82">
        <v>170.683642317942</v>
      </c>
      <c r="H20" s="82">
        <v>149.24980472740501</v>
      </c>
      <c r="I20" s="82">
        <v>153.58549282230999</v>
      </c>
      <c r="J20" s="82">
        <v>154.340678714435</v>
      </c>
      <c r="K20" s="82">
        <v>137.36061658642299</v>
      </c>
      <c r="L20" s="82">
        <v>154.55344379562499</v>
      </c>
      <c r="M20" s="82">
        <v>143.22624687999999</v>
      </c>
      <c r="N20" s="82">
        <v>145.11598733</v>
      </c>
      <c r="O20" s="82">
        <v>116.1883808634</v>
      </c>
      <c r="P20" s="82">
        <v>125.478941487895</v>
      </c>
      <c r="Q20" s="82">
        <v>141.38442459701</v>
      </c>
      <c r="R20" s="82">
        <v>205.05633071728801</v>
      </c>
      <c r="S20" s="82">
        <v>225.748535530195</v>
      </c>
      <c r="T20" s="82">
        <v>257.623696229892</v>
      </c>
      <c r="U20" s="82">
        <v>250.916498878076</v>
      </c>
      <c r="V20" s="82">
        <v>221.062600659531</v>
      </c>
      <c r="W20" s="82">
        <v>181.863757526103</v>
      </c>
      <c r="X20" s="82">
        <v>201.173366775679</v>
      </c>
      <c r="Y20" s="82">
        <v>226.66033231137899</v>
      </c>
      <c r="Z20" s="82">
        <v>225.07707947659901</v>
      </c>
    </row>
    <row r="21" spans="1:26">
      <c r="C21" s="11" t="s">
        <v>383</v>
      </c>
      <c r="D21" s="60" t="s">
        <v>47</v>
      </c>
      <c r="E21" s="82">
        <v>194.246353958893</v>
      </c>
      <c r="F21" s="82">
        <v>215.800838759833</v>
      </c>
      <c r="G21" s="82">
        <v>204.86399397670999</v>
      </c>
      <c r="H21" s="82">
        <v>189.42694669302099</v>
      </c>
      <c r="I21" s="82">
        <v>199.19168358637299</v>
      </c>
      <c r="J21" s="82">
        <v>205.69330090238</v>
      </c>
      <c r="K21" s="82">
        <v>181.42146611264101</v>
      </c>
      <c r="L21" s="82">
        <v>190.64858521811701</v>
      </c>
      <c r="M21" s="82">
        <v>181.69001636337299</v>
      </c>
      <c r="N21" s="82">
        <v>184.59539653337299</v>
      </c>
      <c r="O21" s="82">
        <v>154.13457844339999</v>
      </c>
      <c r="P21" s="82">
        <v>165.32983857040799</v>
      </c>
      <c r="Q21" s="82">
        <v>180.999719885443</v>
      </c>
      <c r="R21" s="82">
        <v>249.30873652466599</v>
      </c>
      <c r="S21" s="82">
        <v>269.22944909504002</v>
      </c>
      <c r="T21" s="82">
        <v>297.27647994930402</v>
      </c>
      <c r="U21" s="82">
        <v>305.02264481603902</v>
      </c>
      <c r="V21" s="82">
        <v>270.11273549449999</v>
      </c>
      <c r="W21" s="82">
        <v>239.082606912373</v>
      </c>
      <c r="X21" s="82">
        <v>254.49695918734</v>
      </c>
      <c r="Y21" s="82">
        <v>277.75399541239199</v>
      </c>
      <c r="Z21" s="82">
        <v>276.71558141879098</v>
      </c>
    </row>
    <row r="22" spans="1:26">
      <c r="A22" t="s">
        <v>2</v>
      </c>
      <c r="E22" s="82"/>
      <c r="F22" s="82"/>
      <c r="G22" s="82"/>
      <c r="H22" s="82"/>
      <c r="I22" s="82"/>
      <c r="J22" s="82"/>
      <c r="K22" s="82"/>
      <c r="L22" s="82"/>
      <c r="M22" s="82"/>
      <c r="N22" s="82"/>
      <c r="O22" s="82"/>
      <c r="P22" s="82"/>
      <c r="Q22" s="82"/>
      <c r="R22" s="82"/>
      <c r="S22" s="82"/>
      <c r="T22" s="82"/>
      <c r="U22" s="82"/>
      <c r="V22" s="82"/>
      <c r="W22" s="82"/>
      <c r="X22" s="82"/>
      <c r="Y22" s="82"/>
      <c r="Z22" s="82"/>
    </row>
    <row r="23" spans="1:26">
      <c r="B23" s="23" t="s">
        <v>65</v>
      </c>
      <c r="E23" s="82"/>
      <c r="F23" s="82"/>
      <c r="G23" s="82"/>
      <c r="H23" s="82"/>
      <c r="I23" s="82"/>
      <c r="J23" s="82"/>
      <c r="K23" s="82"/>
      <c r="L23" s="82"/>
      <c r="M23" s="82"/>
      <c r="N23" s="82"/>
      <c r="O23" s="82"/>
      <c r="P23" s="82"/>
      <c r="Q23" s="82"/>
      <c r="R23" s="82"/>
      <c r="S23" s="82"/>
      <c r="T23" s="82"/>
      <c r="U23" s="82"/>
      <c r="V23" s="82"/>
      <c r="W23" s="82"/>
      <c r="X23" s="82"/>
      <c r="Y23" s="82"/>
      <c r="Z23" s="82"/>
    </row>
    <row r="24" spans="1:26">
      <c r="C24" s="24" t="s">
        <v>82</v>
      </c>
      <c r="D24" s="60" t="s">
        <v>47</v>
      </c>
      <c r="E24" s="82">
        <v>0</v>
      </c>
      <c r="F24" s="82">
        <v>0</v>
      </c>
      <c r="G24" s="82">
        <v>0</v>
      </c>
      <c r="H24" s="82">
        <v>0</v>
      </c>
      <c r="I24" s="82">
        <v>0</v>
      </c>
      <c r="J24" s="82">
        <v>0</v>
      </c>
      <c r="K24" s="82">
        <v>0</v>
      </c>
      <c r="L24" s="82">
        <v>0</v>
      </c>
      <c r="M24" s="82">
        <v>0</v>
      </c>
      <c r="N24" s="82">
        <v>0</v>
      </c>
      <c r="O24" s="82">
        <v>0</v>
      </c>
      <c r="P24" s="82">
        <v>0</v>
      </c>
      <c r="Q24" s="82">
        <v>0</v>
      </c>
      <c r="R24" s="82">
        <v>0</v>
      </c>
      <c r="S24" s="82">
        <v>0</v>
      </c>
      <c r="T24" s="82">
        <v>0</v>
      </c>
      <c r="U24" s="82">
        <v>0</v>
      </c>
      <c r="V24" s="82">
        <v>0</v>
      </c>
      <c r="W24" s="82">
        <v>0</v>
      </c>
      <c r="X24" s="82">
        <v>0</v>
      </c>
      <c r="Y24" s="82">
        <v>0</v>
      </c>
      <c r="Z24" s="82">
        <v>0</v>
      </c>
    </row>
    <row r="25" spans="1:26">
      <c r="C25" s="24" t="s">
        <v>83</v>
      </c>
      <c r="D25" s="60" t="s">
        <v>47</v>
      </c>
      <c r="E25" s="82">
        <v>3.680151</v>
      </c>
      <c r="F25" s="82">
        <v>0.66954349999999996</v>
      </c>
      <c r="G25" s="82">
        <v>0</v>
      </c>
      <c r="H25" s="82">
        <v>5.04</v>
      </c>
      <c r="I25" s="82">
        <v>0</v>
      </c>
      <c r="J25" s="82">
        <v>0.58443699999999998</v>
      </c>
      <c r="K25" s="82">
        <v>13.85903304</v>
      </c>
      <c r="L25" s="82">
        <v>6.0736289043999996</v>
      </c>
      <c r="M25" s="82">
        <v>15.73675398</v>
      </c>
      <c r="N25" s="82">
        <v>27.2418597866351</v>
      </c>
      <c r="O25" s="82">
        <v>29.226617446392499</v>
      </c>
      <c r="P25" s="82">
        <v>46.919829691218403</v>
      </c>
      <c r="Q25" s="82">
        <v>67.462111557502297</v>
      </c>
      <c r="R25" s="82">
        <v>94.216072813699995</v>
      </c>
      <c r="S25" s="82">
        <v>82.2838541374486</v>
      </c>
      <c r="T25" s="82">
        <v>88.019521029800003</v>
      </c>
      <c r="U25" s="82">
        <v>104.6759705707</v>
      </c>
      <c r="V25" s="82">
        <v>89.198787636999995</v>
      </c>
      <c r="W25" s="82">
        <v>22.854952063500001</v>
      </c>
      <c r="X25" s="82">
        <v>52.547069159999999</v>
      </c>
      <c r="Y25" s="82">
        <v>66.009644550000004</v>
      </c>
      <c r="Z25" s="82">
        <v>28.130242178499799</v>
      </c>
    </row>
    <row r="26" spans="1:26">
      <c r="C26" s="24" t="s">
        <v>42</v>
      </c>
      <c r="D26" s="60" t="s">
        <v>47</v>
      </c>
      <c r="E26" s="82">
        <v>142.24572085888801</v>
      </c>
      <c r="F26" s="82">
        <v>153.00622468340001</v>
      </c>
      <c r="G26" s="82">
        <v>129.55165036240001</v>
      </c>
      <c r="H26" s="82">
        <v>139.37514883899999</v>
      </c>
      <c r="I26" s="82">
        <v>144.73314058</v>
      </c>
      <c r="J26" s="82">
        <v>158.48577387742901</v>
      </c>
      <c r="K26" s="82">
        <v>131.61076463997699</v>
      </c>
      <c r="L26" s="82">
        <v>171.73657796085001</v>
      </c>
      <c r="M26" s="82">
        <v>158.339753831618</v>
      </c>
      <c r="N26" s="82">
        <v>124.911307115101</v>
      </c>
      <c r="O26" s="82">
        <v>129.27272286473101</v>
      </c>
      <c r="P26" s="82">
        <v>180.85319100907401</v>
      </c>
      <c r="Q26" s="82">
        <v>172.96362706948901</v>
      </c>
      <c r="R26" s="82">
        <v>227.247382924715</v>
      </c>
      <c r="S26" s="82">
        <v>285.51190436933302</v>
      </c>
      <c r="T26" s="82">
        <v>245.681149547611</v>
      </c>
      <c r="U26" s="82">
        <v>266.25947282013499</v>
      </c>
      <c r="V26" s="82">
        <v>208.31800307029599</v>
      </c>
      <c r="W26" s="82">
        <v>224.92008271876401</v>
      </c>
      <c r="X26" s="82">
        <v>239.337343680456</v>
      </c>
      <c r="Y26" s="82">
        <v>278.85845028210099</v>
      </c>
      <c r="Z26" s="82">
        <v>251.692900308612</v>
      </c>
    </row>
    <row r="27" spans="1:26">
      <c r="C27" s="24" t="s">
        <v>43</v>
      </c>
      <c r="D27" s="60" t="s">
        <v>47</v>
      </c>
      <c r="E27" s="82">
        <v>145.925871858888</v>
      </c>
      <c r="F27" s="82">
        <v>153.67576818340001</v>
      </c>
      <c r="G27" s="82">
        <v>129.55165036240001</v>
      </c>
      <c r="H27" s="82">
        <v>144.41514883900001</v>
      </c>
      <c r="I27" s="82">
        <v>144.73314058</v>
      </c>
      <c r="J27" s="82">
        <v>159.07021087742899</v>
      </c>
      <c r="K27" s="82">
        <v>145.46979767997701</v>
      </c>
      <c r="L27" s="82">
        <v>177.81020686525</v>
      </c>
      <c r="M27" s="82">
        <v>174.076507811618</v>
      </c>
      <c r="N27" s="82">
        <v>152.15316690173699</v>
      </c>
      <c r="O27" s="82">
        <v>158.499340311124</v>
      </c>
      <c r="P27" s="82">
        <v>227.77302070029299</v>
      </c>
      <c r="Q27" s="82">
        <v>240.42573862699101</v>
      </c>
      <c r="R27" s="82">
        <v>321.46345573841501</v>
      </c>
      <c r="S27" s="82">
        <v>367.79575850678202</v>
      </c>
      <c r="T27" s="82">
        <v>333.70067057741102</v>
      </c>
      <c r="U27" s="82">
        <v>370.93544339083502</v>
      </c>
      <c r="V27" s="82">
        <v>297.51679070729602</v>
      </c>
      <c r="W27" s="82">
        <v>247.77503478226399</v>
      </c>
      <c r="X27" s="82">
        <v>291.88441284045598</v>
      </c>
      <c r="Y27" s="82">
        <v>344.86809483210101</v>
      </c>
      <c r="Z27" s="82">
        <v>279.82314248711202</v>
      </c>
    </row>
    <row r="28" spans="1:26">
      <c r="A28" t="s">
        <v>2</v>
      </c>
      <c r="E28" s="82"/>
      <c r="F28" s="82"/>
      <c r="G28" s="82"/>
      <c r="H28" s="82"/>
      <c r="I28" s="82"/>
      <c r="J28" s="82"/>
      <c r="K28" s="82"/>
      <c r="L28" s="82"/>
      <c r="M28" s="82"/>
      <c r="N28" s="82"/>
      <c r="O28" s="82"/>
      <c r="P28" s="82"/>
      <c r="Q28" s="82"/>
      <c r="R28" s="82"/>
      <c r="S28" s="82"/>
      <c r="T28" s="82"/>
      <c r="U28" s="82"/>
      <c r="V28" s="82"/>
      <c r="W28" s="82"/>
      <c r="X28" s="82"/>
      <c r="Y28" s="82"/>
      <c r="Z28" s="82"/>
    </row>
    <row r="29" spans="1:26">
      <c r="B29" s="22" t="s">
        <v>382</v>
      </c>
      <c r="E29" s="82"/>
      <c r="F29" s="82"/>
      <c r="G29" s="82"/>
      <c r="H29" s="82"/>
      <c r="I29" s="82"/>
      <c r="J29" s="82"/>
      <c r="K29" s="82"/>
      <c r="L29" s="82"/>
      <c r="M29" s="82"/>
      <c r="N29" s="82"/>
      <c r="O29" s="82"/>
      <c r="P29" s="82"/>
      <c r="Q29" s="82"/>
      <c r="R29" s="82"/>
      <c r="S29" s="82"/>
      <c r="T29" s="82"/>
      <c r="U29" s="82"/>
      <c r="V29" s="82"/>
      <c r="W29" s="82"/>
      <c r="X29" s="82"/>
      <c r="Y29" s="82"/>
      <c r="Z29" s="82"/>
    </row>
    <row r="30" spans="1:26">
      <c r="C30" s="11" t="s">
        <v>387</v>
      </c>
      <c r="D30" s="60" t="s">
        <v>47</v>
      </c>
      <c r="E30" s="82">
        <v>39.631266585690497</v>
      </c>
      <c r="F30" s="82">
        <v>41.519825775240101</v>
      </c>
      <c r="G30" s="82">
        <v>39.592611434013797</v>
      </c>
      <c r="H30" s="82">
        <v>43.776261176529303</v>
      </c>
      <c r="I30" s="82">
        <v>46.441437652184199</v>
      </c>
      <c r="J30" s="82">
        <v>49.119698685243897</v>
      </c>
      <c r="K30" s="82">
        <v>47.764392394003899</v>
      </c>
      <c r="L30" s="82">
        <v>39.697323860753698</v>
      </c>
      <c r="M30" s="82">
        <v>39.602508281348399</v>
      </c>
      <c r="N30" s="82">
        <v>43.4708242427795</v>
      </c>
      <c r="O30" s="82">
        <v>37.08790046</v>
      </c>
      <c r="P30" s="82">
        <v>28.246399610000001</v>
      </c>
      <c r="Q30" s="82">
        <v>26.248055069999999</v>
      </c>
      <c r="R30" s="82">
        <v>28.154587379999999</v>
      </c>
      <c r="S30" s="82">
        <v>31.17168319</v>
      </c>
      <c r="T30" s="82">
        <v>26.852536232854099</v>
      </c>
      <c r="U30" s="82">
        <v>28.992932589999999</v>
      </c>
      <c r="V30" s="82">
        <v>36.685385304999997</v>
      </c>
      <c r="W30" s="82">
        <v>37.093262349900002</v>
      </c>
      <c r="X30" s="82">
        <v>33.704845649404398</v>
      </c>
      <c r="Y30" s="82">
        <v>17.86742456</v>
      </c>
      <c r="Z30" s="82">
        <v>7.3920254867999997</v>
      </c>
    </row>
    <row r="31" spans="1:26">
      <c r="C31" s="11" t="s">
        <v>388</v>
      </c>
      <c r="D31" s="60" t="s">
        <v>47</v>
      </c>
      <c r="E31" s="82">
        <v>21.929833101660002</v>
      </c>
      <c r="F31" s="82">
        <v>46.351505340000003</v>
      </c>
      <c r="G31" s="82">
        <v>91.153161880798606</v>
      </c>
      <c r="H31" s="82">
        <v>143.26344169999999</v>
      </c>
      <c r="I31" s="82">
        <v>178.740214971564</v>
      </c>
      <c r="J31" s="82">
        <v>183.07725716646999</v>
      </c>
      <c r="K31" s="82">
        <v>214.797268404557</v>
      </c>
      <c r="L31" s="82">
        <v>218.85124429082501</v>
      </c>
      <c r="M31" s="82">
        <v>254.59742880265901</v>
      </c>
      <c r="N31" s="82">
        <v>187.92437766389699</v>
      </c>
      <c r="O31" s="82">
        <v>182.63484210999999</v>
      </c>
      <c r="P31" s="82">
        <v>195.16856665</v>
      </c>
      <c r="Q31" s="82">
        <v>239.52411429013799</v>
      </c>
      <c r="R31" s="82">
        <v>262.13791479003697</v>
      </c>
      <c r="S31" s="82">
        <v>247.721764949109</v>
      </c>
      <c r="T31" s="82">
        <v>268.60588904780002</v>
      </c>
      <c r="U31" s="82">
        <v>303.137323541044</v>
      </c>
      <c r="V31" s="82">
        <v>257.96062034622503</v>
      </c>
      <c r="W31" s="82">
        <v>202.44801822100001</v>
      </c>
      <c r="X31" s="82">
        <v>236.72419370691301</v>
      </c>
      <c r="Y31" s="82">
        <v>241.18035367159999</v>
      </c>
      <c r="Z31" s="82">
        <v>189.89491778509699</v>
      </c>
    </row>
    <row r="32" spans="1:26">
      <c r="C32" s="24" t="s">
        <v>42</v>
      </c>
      <c r="D32" s="60" t="s">
        <v>47</v>
      </c>
      <c r="E32" s="82">
        <v>49.062870928099997</v>
      </c>
      <c r="F32" s="82">
        <v>51.936451084741002</v>
      </c>
      <c r="G32" s="82">
        <v>48.750234550000002</v>
      </c>
      <c r="H32" s="82">
        <v>53.094444297069998</v>
      </c>
      <c r="I32" s="82">
        <v>58.438486774920001</v>
      </c>
      <c r="J32" s="82">
        <v>58.837376290000002</v>
      </c>
      <c r="K32" s="82">
        <v>51.176549989999998</v>
      </c>
      <c r="L32" s="82">
        <v>51.756016719999998</v>
      </c>
      <c r="M32" s="82">
        <v>54.182264140000001</v>
      </c>
      <c r="N32" s="82">
        <v>51.047175060000001</v>
      </c>
      <c r="O32" s="82">
        <v>49.874785930000002</v>
      </c>
      <c r="P32" s="82">
        <v>53.7645087</v>
      </c>
      <c r="Q32" s="82">
        <v>60.85107155</v>
      </c>
      <c r="R32" s="82">
        <v>59.29116166</v>
      </c>
      <c r="S32" s="82">
        <v>60.852538414957003</v>
      </c>
      <c r="T32" s="82">
        <v>58.803985928673399</v>
      </c>
      <c r="U32" s="82">
        <v>76.748730625459103</v>
      </c>
      <c r="V32" s="82">
        <v>71.9995060129378</v>
      </c>
      <c r="W32" s="82">
        <v>74.648982349999997</v>
      </c>
      <c r="X32" s="82">
        <v>77.273526028388005</v>
      </c>
      <c r="Y32" s="82">
        <v>72.839077361232</v>
      </c>
      <c r="Z32" s="82">
        <v>71.281178879999899</v>
      </c>
    </row>
    <row r="33" spans="1:26">
      <c r="C33" s="24" t="s">
        <v>43</v>
      </c>
      <c r="D33" s="60" t="s">
        <v>47</v>
      </c>
      <c r="E33" s="82">
        <v>110.623970615451</v>
      </c>
      <c r="F33" s="82">
        <v>139.80778219998101</v>
      </c>
      <c r="G33" s="82">
        <v>179.49600786481199</v>
      </c>
      <c r="H33" s="82">
        <v>240.13414717359899</v>
      </c>
      <c r="I33" s="82">
        <v>283.62013939866802</v>
      </c>
      <c r="J33" s="82">
        <v>291.034332141714</v>
      </c>
      <c r="K33" s="82">
        <v>313.73821078856099</v>
      </c>
      <c r="L33" s="82">
        <v>310.30458487157898</v>
      </c>
      <c r="M33" s="82">
        <v>348.38220122400799</v>
      </c>
      <c r="N33" s="82">
        <v>282.44237696667699</v>
      </c>
      <c r="O33" s="82">
        <v>269.59752850000001</v>
      </c>
      <c r="P33" s="82">
        <v>277.17947495999999</v>
      </c>
      <c r="Q33" s="82">
        <v>326.62324091013801</v>
      </c>
      <c r="R33" s="82">
        <v>349.58366383003698</v>
      </c>
      <c r="S33" s="82">
        <v>339.74598655406601</v>
      </c>
      <c r="T33" s="82">
        <v>354.26241120932798</v>
      </c>
      <c r="U33" s="82">
        <v>408.87898675650302</v>
      </c>
      <c r="V33" s="82">
        <v>366.645511664163</v>
      </c>
      <c r="W33" s="82">
        <v>314.19026292090001</v>
      </c>
      <c r="X33" s="82">
        <v>347.702565384705</v>
      </c>
      <c r="Y33" s="82">
        <v>331.88685559283198</v>
      </c>
      <c r="Z33" s="82">
        <v>268.568122151897</v>
      </c>
    </row>
    <row r="34" spans="1:26">
      <c r="A34" t="s">
        <v>2</v>
      </c>
      <c r="E34" s="82"/>
      <c r="F34" s="82"/>
      <c r="G34" s="82"/>
      <c r="H34" s="82"/>
      <c r="I34" s="82"/>
      <c r="J34" s="82"/>
      <c r="K34" s="82"/>
      <c r="L34" s="82"/>
      <c r="M34" s="82"/>
      <c r="N34" s="82"/>
      <c r="O34" s="82"/>
      <c r="P34" s="82"/>
      <c r="Q34" s="82"/>
      <c r="R34" s="82"/>
      <c r="S34" s="82"/>
      <c r="T34" s="82"/>
      <c r="U34" s="82"/>
      <c r="V34" s="82"/>
      <c r="W34" s="82"/>
      <c r="X34" s="82"/>
      <c r="Y34" s="82"/>
      <c r="Z34" s="82"/>
    </row>
    <row r="35" spans="1:26">
      <c r="B35" s="23" t="s">
        <v>67</v>
      </c>
      <c r="E35" s="82"/>
      <c r="F35" s="82"/>
      <c r="G35" s="82"/>
      <c r="H35" s="82"/>
      <c r="I35" s="82"/>
      <c r="J35" s="82"/>
      <c r="K35" s="82"/>
      <c r="L35" s="82"/>
      <c r="M35" s="82"/>
      <c r="N35" s="82"/>
      <c r="O35" s="82"/>
      <c r="P35" s="82"/>
      <c r="Q35" s="82"/>
      <c r="R35" s="82"/>
      <c r="S35" s="82"/>
      <c r="T35" s="82"/>
      <c r="U35" s="82"/>
      <c r="V35" s="82"/>
      <c r="W35" s="82"/>
      <c r="X35" s="82"/>
      <c r="Y35" s="82"/>
      <c r="Z35" s="82"/>
    </row>
    <row r="36" spans="1:26">
      <c r="C36" s="24" t="s">
        <v>82</v>
      </c>
      <c r="D36" s="60" t="s">
        <v>47</v>
      </c>
      <c r="E36" s="82">
        <v>279.20626199999998</v>
      </c>
      <c r="F36" s="82">
        <v>275.91613662888898</v>
      </c>
      <c r="G36" s="82">
        <v>277.14437425</v>
      </c>
      <c r="H36" s="82">
        <v>211.86726175000001</v>
      </c>
      <c r="I36" s="82">
        <v>223.11427037000001</v>
      </c>
      <c r="J36" s="82">
        <v>257.749594608824</v>
      </c>
      <c r="K36" s="82">
        <v>231.541355937736</v>
      </c>
      <c r="L36" s="82">
        <v>178.916003604038</v>
      </c>
      <c r="M36" s="82">
        <v>169.76306719999999</v>
      </c>
      <c r="N36" s="82">
        <v>81.098625049999995</v>
      </c>
      <c r="O36" s="82">
        <v>57.663482000000002</v>
      </c>
      <c r="P36" s="82">
        <v>71.268208000000001</v>
      </c>
      <c r="Q36" s="82">
        <v>66.973314000000002</v>
      </c>
      <c r="R36" s="82">
        <v>77.62896585</v>
      </c>
      <c r="S36" s="82">
        <v>84.972749620000002</v>
      </c>
      <c r="T36" s="82">
        <v>87.913836909921599</v>
      </c>
      <c r="U36" s="82">
        <v>68.443605210000001</v>
      </c>
      <c r="V36" s="82">
        <v>93.857360903922896</v>
      </c>
      <c r="W36" s="82">
        <v>73.359644518518493</v>
      </c>
      <c r="X36" s="82">
        <v>83.308752384967207</v>
      </c>
      <c r="Y36" s="82">
        <v>76.937978551838199</v>
      </c>
      <c r="Z36" s="82">
        <v>93.194702334467607</v>
      </c>
    </row>
    <row r="37" spans="1:26">
      <c r="C37" s="24" t="s">
        <v>83</v>
      </c>
      <c r="D37" s="60" t="s">
        <v>47</v>
      </c>
      <c r="E37" s="82">
        <v>35.501444999999997</v>
      </c>
      <c r="F37" s="82">
        <v>33.754075925925903</v>
      </c>
      <c r="G37" s="82">
        <v>52.511256000000003</v>
      </c>
      <c r="H37" s="82">
        <v>61.070974999999997</v>
      </c>
      <c r="I37" s="82">
        <v>65.595808199999993</v>
      </c>
      <c r="J37" s="82">
        <v>85.935265000000001</v>
      </c>
      <c r="K37" s="82">
        <v>70.748187999999999</v>
      </c>
      <c r="L37" s="82">
        <v>60.928719999999998</v>
      </c>
      <c r="M37" s="82">
        <v>65.247526899999997</v>
      </c>
      <c r="N37" s="82">
        <v>13.782889000000001</v>
      </c>
      <c r="O37" s="82">
        <v>22.68684</v>
      </c>
      <c r="P37" s="82">
        <v>70.591566</v>
      </c>
      <c r="Q37" s="82">
        <v>95.320747935483894</v>
      </c>
      <c r="R37" s="82">
        <v>149.02236339193601</v>
      </c>
      <c r="S37" s="82">
        <v>166.502179685952</v>
      </c>
      <c r="T37" s="82">
        <v>210.165576292899</v>
      </c>
      <c r="U37" s="82">
        <v>229.26018873000001</v>
      </c>
      <c r="V37" s="82">
        <v>209.88494860543699</v>
      </c>
      <c r="W37" s="82">
        <v>226.22189832333299</v>
      </c>
      <c r="X37" s="82">
        <v>196.94345243151301</v>
      </c>
      <c r="Y37" s="82">
        <v>213.177248037423</v>
      </c>
      <c r="Z37" s="82">
        <v>206.297248406373</v>
      </c>
    </row>
    <row r="38" spans="1:26">
      <c r="C38" s="24" t="s">
        <v>42</v>
      </c>
      <c r="D38" s="60" t="s">
        <v>47</v>
      </c>
      <c r="E38" s="82">
        <v>66.070946831040004</v>
      </c>
      <c r="F38" s="82">
        <v>66.9311011178211</v>
      </c>
      <c r="G38" s="82">
        <v>63.365930499999997</v>
      </c>
      <c r="H38" s="82">
        <v>64.758585170000003</v>
      </c>
      <c r="I38" s="82">
        <v>68.94353778</v>
      </c>
      <c r="J38" s="82">
        <v>79.627304373000001</v>
      </c>
      <c r="K38" s="82">
        <v>55.149821586500003</v>
      </c>
      <c r="L38" s="82">
        <v>69.846260330000007</v>
      </c>
      <c r="M38" s="82">
        <v>87.813002800000007</v>
      </c>
      <c r="N38" s="82">
        <v>78.902924990000002</v>
      </c>
      <c r="O38" s="82">
        <v>76.573266000000004</v>
      </c>
      <c r="P38" s="82">
        <v>72.297778824451399</v>
      </c>
      <c r="Q38" s="82">
        <v>63.185336724137898</v>
      </c>
      <c r="R38" s="82">
        <v>65.993476334482807</v>
      </c>
      <c r="S38" s="82">
        <v>105.692453260249</v>
      </c>
      <c r="T38" s="82">
        <v>128.57102194802101</v>
      </c>
      <c r="U38" s="82">
        <v>126.74840589453299</v>
      </c>
      <c r="V38" s="82">
        <v>145.04072490712201</v>
      </c>
      <c r="W38" s="82">
        <v>95.8995517401586</v>
      </c>
      <c r="X38" s="82">
        <v>99.660031550794798</v>
      </c>
      <c r="Y38" s="82">
        <v>104.727177729413</v>
      </c>
      <c r="Z38" s="82">
        <v>110.351348725796</v>
      </c>
    </row>
    <row r="39" spans="1:26">
      <c r="C39" s="24" t="s">
        <v>43</v>
      </c>
      <c r="D39" s="60" t="s">
        <v>47</v>
      </c>
      <c r="E39" s="82">
        <v>380.77865383104</v>
      </c>
      <c r="F39" s="82">
        <v>376.60131367263602</v>
      </c>
      <c r="G39" s="82">
        <v>393.02156074999999</v>
      </c>
      <c r="H39" s="82">
        <v>337.69682191999999</v>
      </c>
      <c r="I39" s="82">
        <v>357.65361634999999</v>
      </c>
      <c r="J39" s="82">
        <v>423.31216398182403</v>
      </c>
      <c r="K39" s="82">
        <v>357.439365524236</v>
      </c>
      <c r="L39" s="82">
        <v>309.690983934038</v>
      </c>
      <c r="M39" s="82">
        <v>322.82359689999998</v>
      </c>
      <c r="N39" s="82">
        <v>173.78443904</v>
      </c>
      <c r="O39" s="82">
        <v>156.923588</v>
      </c>
      <c r="P39" s="82">
        <v>214.15755282445099</v>
      </c>
      <c r="Q39" s="82">
        <v>225.47939865962201</v>
      </c>
      <c r="R39" s="82">
        <v>292.64480557641798</v>
      </c>
      <c r="S39" s="82">
        <v>357.16738256620101</v>
      </c>
      <c r="T39" s="82">
        <v>426.65043515084301</v>
      </c>
      <c r="U39" s="82">
        <v>424.45219983453302</v>
      </c>
      <c r="V39" s="82">
        <v>448.783034416482</v>
      </c>
      <c r="W39" s="82">
        <v>395.48109458200997</v>
      </c>
      <c r="X39" s="82">
        <v>379.912236367275</v>
      </c>
      <c r="Y39" s="82">
        <v>394.84240431867403</v>
      </c>
      <c r="Z39" s="82">
        <v>409.84329946663598</v>
      </c>
    </row>
    <row r="40" spans="1:26">
      <c r="A40" t="s">
        <v>2</v>
      </c>
      <c r="E40" s="82"/>
      <c r="F40" s="82"/>
      <c r="G40" s="82"/>
      <c r="H40" s="82"/>
      <c r="I40" s="82"/>
      <c r="J40" s="82"/>
      <c r="K40" s="82"/>
      <c r="L40" s="82"/>
      <c r="M40" s="82"/>
      <c r="N40" s="82"/>
      <c r="O40" s="82"/>
      <c r="P40" s="82"/>
      <c r="Q40" s="82"/>
      <c r="R40" s="82"/>
      <c r="S40" s="82"/>
      <c r="T40" s="82"/>
      <c r="U40" s="82"/>
      <c r="V40" s="82"/>
      <c r="W40" s="82"/>
      <c r="X40" s="82"/>
      <c r="Y40" s="82"/>
      <c r="Z40" s="82"/>
    </row>
    <row r="41" spans="1:26">
      <c r="B41" s="23" t="s">
        <v>68</v>
      </c>
      <c r="E41" s="82"/>
      <c r="F41" s="82"/>
      <c r="G41" s="82"/>
      <c r="H41" s="82"/>
      <c r="I41" s="82"/>
      <c r="J41" s="82"/>
      <c r="K41" s="82"/>
      <c r="L41" s="82"/>
      <c r="M41" s="82"/>
      <c r="N41" s="82"/>
      <c r="O41" s="82"/>
      <c r="P41" s="82"/>
      <c r="Q41" s="82"/>
      <c r="R41" s="82"/>
      <c r="S41" s="82"/>
      <c r="T41" s="82"/>
      <c r="U41" s="82"/>
      <c r="V41" s="82"/>
      <c r="W41" s="82"/>
      <c r="X41" s="82"/>
      <c r="Y41" s="82"/>
      <c r="Z41" s="82"/>
    </row>
    <row r="42" spans="1:26">
      <c r="C42" s="24" t="s">
        <v>82</v>
      </c>
      <c r="D42" s="60" t="s">
        <v>47</v>
      </c>
      <c r="E42" s="82">
        <v>0</v>
      </c>
      <c r="F42" s="82">
        <v>0.49</v>
      </c>
      <c r="G42" s="82">
        <v>1.47</v>
      </c>
      <c r="H42" s="82">
        <v>1.9305000000000001</v>
      </c>
      <c r="I42" s="82">
        <v>0</v>
      </c>
      <c r="J42" s="82">
        <v>0</v>
      </c>
      <c r="K42" s="82">
        <v>0</v>
      </c>
      <c r="L42" s="82">
        <v>0</v>
      </c>
      <c r="M42" s="82">
        <v>0</v>
      </c>
      <c r="N42" s="82">
        <v>0</v>
      </c>
      <c r="O42" s="82">
        <v>0</v>
      </c>
      <c r="P42" s="82">
        <v>0</v>
      </c>
      <c r="Q42" s="82">
        <v>0</v>
      </c>
      <c r="R42" s="82" t="s">
        <v>211</v>
      </c>
      <c r="S42" s="82" t="s">
        <v>211</v>
      </c>
      <c r="T42" s="82" t="s">
        <v>211</v>
      </c>
      <c r="U42" s="82" t="s">
        <v>211</v>
      </c>
      <c r="V42" s="82" t="s">
        <v>211</v>
      </c>
      <c r="W42" s="82" t="s">
        <v>211</v>
      </c>
      <c r="X42" s="82" t="s">
        <v>211</v>
      </c>
      <c r="Y42" s="82" t="s">
        <v>211</v>
      </c>
      <c r="Z42" s="82" t="s">
        <v>211</v>
      </c>
    </row>
    <row r="43" spans="1:26">
      <c r="C43" s="24" t="s">
        <v>83</v>
      </c>
      <c r="D43" s="60" t="s">
        <v>47</v>
      </c>
      <c r="E43" s="82">
        <v>0</v>
      </c>
      <c r="F43" s="82">
        <v>0</v>
      </c>
      <c r="G43" s="82">
        <v>0</v>
      </c>
      <c r="H43" s="82">
        <v>0</v>
      </c>
      <c r="I43" s="82">
        <v>0</v>
      </c>
      <c r="J43" s="82">
        <v>0</v>
      </c>
      <c r="K43" s="82">
        <v>0</v>
      </c>
      <c r="L43" s="82">
        <v>0</v>
      </c>
      <c r="M43" s="82">
        <v>0</v>
      </c>
      <c r="N43" s="82">
        <v>0</v>
      </c>
      <c r="O43" s="82">
        <v>0</v>
      </c>
      <c r="P43" s="82">
        <v>0</v>
      </c>
      <c r="Q43" s="82">
        <v>0</v>
      </c>
      <c r="R43" s="82" t="s">
        <v>211</v>
      </c>
      <c r="S43" s="82" t="s">
        <v>211</v>
      </c>
      <c r="T43" s="82" t="s">
        <v>211</v>
      </c>
      <c r="U43" s="82" t="s">
        <v>211</v>
      </c>
      <c r="V43" s="82" t="s">
        <v>211</v>
      </c>
      <c r="W43" s="82" t="s">
        <v>211</v>
      </c>
      <c r="X43" s="82" t="s">
        <v>211</v>
      </c>
      <c r="Y43" s="82" t="s">
        <v>211</v>
      </c>
      <c r="Z43" s="82" t="s">
        <v>211</v>
      </c>
    </row>
    <row r="44" spans="1:26">
      <c r="C44" s="24" t="s">
        <v>42</v>
      </c>
      <c r="D44" s="60" t="s">
        <v>47</v>
      </c>
      <c r="E44" s="82">
        <v>0</v>
      </c>
      <c r="F44" s="82">
        <v>0</v>
      </c>
      <c r="G44" s="82">
        <v>0</v>
      </c>
      <c r="H44" s="82">
        <v>0.61951999999999996</v>
      </c>
      <c r="I44" s="82">
        <v>2.0773619999999999</v>
      </c>
      <c r="J44" s="82">
        <v>0</v>
      </c>
      <c r="K44" s="82">
        <v>0</v>
      </c>
      <c r="L44" s="82">
        <v>0</v>
      </c>
      <c r="M44" s="82">
        <v>0</v>
      </c>
      <c r="N44" s="82">
        <v>0</v>
      </c>
      <c r="O44" s="82">
        <v>0</v>
      </c>
      <c r="P44" s="82">
        <v>0</v>
      </c>
      <c r="Q44" s="82">
        <v>0</v>
      </c>
      <c r="R44" s="82" t="s">
        <v>211</v>
      </c>
      <c r="S44" s="82" t="s">
        <v>211</v>
      </c>
      <c r="T44" s="82" t="s">
        <v>211</v>
      </c>
      <c r="U44" s="82" t="s">
        <v>211</v>
      </c>
      <c r="V44" s="82" t="s">
        <v>211</v>
      </c>
      <c r="W44" s="82" t="s">
        <v>211</v>
      </c>
      <c r="X44" s="82" t="s">
        <v>211</v>
      </c>
      <c r="Y44" s="82" t="s">
        <v>211</v>
      </c>
      <c r="Z44" s="82" t="s">
        <v>211</v>
      </c>
    </row>
    <row r="45" spans="1:26">
      <c r="C45" s="24" t="s">
        <v>43</v>
      </c>
      <c r="D45" s="60" t="s">
        <v>47</v>
      </c>
      <c r="E45" s="82">
        <v>0</v>
      </c>
      <c r="F45" s="82">
        <v>0.49</v>
      </c>
      <c r="G45" s="82">
        <v>1.47</v>
      </c>
      <c r="H45" s="82">
        <v>2.55002</v>
      </c>
      <c r="I45" s="82">
        <v>2.0773619999999999</v>
      </c>
      <c r="J45" s="82">
        <v>0</v>
      </c>
      <c r="K45" s="82">
        <v>0</v>
      </c>
      <c r="L45" s="82">
        <v>0</v>
      </c>
      <c r="M45" s="82">
        <v>0</v>
      </c>
      <c r="N45" s="82">
        <v>0</v>
      </c>
      <c r="O45" s="82">
        <v>0</v>
      </c>
      <c r="P45" s="82">
        <v>0</v>
      </c>
      <c r="Q45" s="82">
        <v>0</v>
      </c>
      <c r="R45" s="82" t="s">
        <v>211</v>
      </c>
      <c r="S45" s="82" t="s">
        <v>211</v>
      </c>
      <c r="T45" s="82" t="s">
        <v>211</v>
      </c>
      <c r="U45" s="82" t="s">
        <v>211</v>
      </c>
      <c r="V45" s="82" t="s">
        <v>211</v>
      </c>
      <c r="W45" s="82" t="s">
        <v>211</v>
      </c>
      <c r="X45" s="82" t="s">
        <v>211</v>
      </c>
      <c r="Y45" s="82" t="s">
        <v>211</v>
      </c>
      <c r="Z45" s="82" t="s">
        <v>211</v>
      </c>
    </row>
    <row r="46" spans="1:26">
      <c r="A46" t="s">
        <v>2</v>
      </c>
      <c r="E46" s="82"/>
      <c r="F46" s="82"/>
      <c r="G46" s="82"/>
      <c r="H46" s="82"/>
      <c r="I46" s="82"/>
      <c r="J46" s="82"/>
      <c r="K46" s="82"/>
      <c r="L46" s="82"/>
      <c r="M46" s="82"/>
      <c r="N46" s="82"/>
      <c r="O46" s="82"/>
      <c r="P46" s="82"/>
      <c r="Q46" s="82"/>
      <c r="R46" s="82"/>
      <c r="S46" s="82"/>
      <c r="T46" s="82"/>
      <c r="U46" s="82"/>
      <c r="V46" s="82"/>
      <c r="W46" s="82"/>
      <c r="X46" s="82"/>
      <c r="Y46" s="82"/>
      <c r="Z46" s="82"/>
    </row>
    <row r="47" spans="1:26">
      <c r="B47" s="23" t="s">
        <v>69</v>
      </c>
      <c r="E47" s="82"/>
      <c r="F47" s="82"/>
      <c r="G47" s="82"/>
      <c r="H47" s="82"/>
      <c r="I47" s="82"/>
      <c r="J47" s="82"/>
      <c r="K47" s="82"/>
      <c r="L47" s="82"/>
      <c r="M47" s="82"/>
      <c r="N47" s="82"/>
      <c r="O47" s="82"/>
      <c r="P47" s="82"/>
      <c r="Q47" s="82"/>
      <c r="R47" s="82"/>
      <c r="S47" s="82"/>
      <c r="T47" s="82"/>
      <c r="U47" s="82"/>
      <c r="V47" s="82"/>
      <c r="W47" s="82"/>
      <c r="X47" s="82"/>
      <c r="Y47" s="82"/>
      <c r="Z47" s="82"/>
    </row>
    <row r="48" spans="1:26">
      <c r="C48" s="24" t="s">
        <v>82</v>
      </c>
      <c r="D48" s="60" t="s">
        <v>47</v>
      </c>
      <c r="E48" s="82">
        <v>0</v>
      </c>
      <c r="F48" s="82">
        <v>0</v>
      </c>
      <c r="G48" s="82">
        <v>0</v>
      </c>
      <c r="H48" s="82">
        <v>0</v>
      </c>
      <c r="I48" s="82">
        <v>0</v>
      </c>
      <c r="J48" s="82">
        <v>0</v>
      </c>
      <c r="K48" s="82">
        <v>0</v>
      </c>
      <c r="L48" s="82">
        <v>0</v>
      </c>
      <c r="M48" s="82" t="s">
        <v>211</v>
      </c>
      <c r="N48" s="82" t="s">
        <v>211</v>
      </c>
      <c r="O48" s="82" t="s">
        <v>211</v>
      </c>
      <c r="P48" s="82" t="s">
        <v>211</v>
      </c>
      <c r="Q48" s="82" t="s">
        <v>211</v>
      </c>
      <c r="R48" s="82" t="s">
        <v>211</v>
      </c>
      <c r="S48" s="82" t="s">
        <v>211</v>
      </c>
      <c r="T48" s="82" t="s">
        <v>211</v>
      </c>
      <c r="U48" s="82" t="s">
        <v>211</v>
      </c>
      <c r="V48" s="82" t="s">
        <v>211</v>
      </c>
      <c r="W48" s="82" t="s">
        <v>211</v>
      </c>
      <c r="X48" s="82" t="s">
        <v>211</v>
      </c>
      <c r="Y48" s="82" t="s">
        <v>211</v>
      </c>
      <c r="Z48" s="82" t="s">
        <v>211</v>
      </c>
    </row>
    <row r="49" spans="1:26">
      <c r="C49" s="24" t="s">
        <v>83</v>
      </c>
      <c r="D49" s="60" t="s">
        <v>47</v>
      </c>
      <c r="E49" s="82">
        <v>0</v>
      </c>
      <c r="F49" s="82">
        <v>0</v>
      </c>
      <c r="G49" s="82">
        <v>0</v>
      </c>
      <c r="H49" s="82">
        <v>0</v>
      </c>
      <c r="I49" s="82">
        <v>0</v>
      </c>
      <c r="J49" s="82">
        <v>0</v>
      </c>
      <c r="K49" s="82">
        <v>0</v>
      </c>
      <c r="L49" s="82">
        <v>0</v>
      </c>
      <c r="M49" s="82" t="s">
        <v>211</v>
      </c>
      <c r="N49" s="82" t="s">
        <v>211</v>
      </c>
      <c r="O49" s="82" t="s">
        <v>211</v>
      </c>
      <c r="P49" s="82" t="s">
        <v>211</v>
      </c>
      <c r="Q49" s="82" t="s">
        <v>211</v>
      </c>
      <c r="R49" s="82" t="s">
        <v>211</v>
      </c>
      <c r="S49" s="82" t="s">
        <v>211</v>
      </c>
      <c r="T49" s="82" t="s">
        <v>211</v>
      </c>
      <c r="U49" s="82" t="s">
        <v>211</v>
      </c>
      <c r="V49" s="82" t="s">
        <v>211</v>
      </c>
      <c r="W49" s="82" t="s">
        <v>211</v>
      </c>
      <c r="X49" s="82" t="s">
        <v>211</v>
      </c>
      <c r="Y49" s="82" t="s">
        <v>211</v>
      </c>
      <c r="Z49" s="82" t="s">
        <v>211</v>
      </c>
    </row>
    <row r="50" spans="1:26">
      <c r="C50" s="24" t="s">
        <v>42</v>
      </c>
      <c r="D50" s="60" t="s">
        <v>47</v>
      </c>
      <c r="E50" s="82">
        <v>9.4846681900000007</v>
      </c>
      <c r="F50" s="82">
        <v>2.2906451400000001</v>
      </c>
      <c r="G50" s="82">
        <v>1.4977076764811199</v>
      </c>
      <c r="H50" s="82">
        <v>0</v>
      </c>
      <c r="I50" s="82">
        <v>0</v>
      </c>
      <c r="J50" s="82">
        <v>0</v>
      </c>
      <c r="K50" s="82">
        <v>0</v>
      </c>
      <c r="L50" s="82">
        <v>0</v>
      </c>
      <c r="M50" s="82" t="s">
        <v>211</v>
      </c>
      <c r="N50" s="82" t="s">
        <v>211</v>
      </c>
      <c r="O50" s="82" t="s">
        <v>211</v>
      </c>
      <c r="P50" s="82" t="s">
        <v>211</v>
      </c>
      <c r="Q50" s="82" t="s">
        <v>211</v>
      </c>
      <c r="R50" s="82" t="s">
        <v>211</v>
      </c>
      <c r="S50" s="82" t="s">
        <v>211</v>
      </c>
      <c r="T50" s="82" t="s">
        <v>211</v>
      </c>
      <c r="U50" s="82" t="s">
        <v>211</v>
      </c>
      <c r="V50" s="82" t="s">
        <v>211</v>
      </c>
      <c r="W50" s="82" t="s">
        <v>211</v>
      </c>
      <c r="X50" s="82" t="s">
        <v>211</v>
      </c>
      <c r="Y50" s="82" t="s">
        <v>211</v>
      </c>
      <c r="Z50" s="82" t="s">
        <v>211</v>
      </c>
    </row>
    <row r="51" spans="1:26">
      <c r="C51" s="24" t="s">
        <v>43</v>
      </c>
      <c r="D51" s="60" t="s">
        <v>47</v>
      </c>
      <c r="E51" s="82">
        <v>9.4846681900000007</v>
      </c>
      <c r="F51" s="82">
        <v>2.2906451400000001</v>
      </c>
      <c r="G51" s="82">
        <v>1.4977076764811199</v>
      </c>
      <c r="H51" s="82">
        <v>0</v>
      </c>
      <c r="I51" s="82">
        <v>0</v>
      </c>
      <c r="J51" s="82">
        <v>0</v>
      </c>
      <c r="K51" s="82">
        <v>0</v>
      </c>
      <c r="L51" s="82">
        <v>0</v>
      </c>
      <c r="M51" s="82" t="s">
        <v>211</v>
      </c>
      <c r="N51" s="82" t="s">
        <v>211</v>
      </c>
      <c r="O51" s="82" t="s">
        <v>211</v>
      </c>
      <c r="P51" s="82" t="s">
        <v>211</v>
      </c>
      <c r="Q51" s="82" t="s">
        <v>211</v>
      </c>
      <c r="R51" s="82" t="s">
        <v>211</v>
      </c>
      <c r="S51" s="82" t="s">
        <v>211</v>
      </c>
      <c r="T51" s="82" t="s">
        <v>211</v>
      </c>
      <c r="U51" s="82" t="s">
        <v>211</v>
      </c>
      <c r="V51" s="82" t="s">
        <v>211</v>
      </c>
      <c r="W51" s="82" t="s">
        <v>211</v>
      </c>
      <c r="X51" s="82" t="s">
        <v>211</v>
      </c>
      <c r="Y51" s="82" t="s">
        <v>211</v>
      </c>
      <c r="Z51" s="82" t="s">
        <v>211</v>
      </c>
    </row>
    <row r="52" spans="1:26">
      <c r="A52" t="s">
        <v>2</v>
      </c>
      <c r="E52" s="82"/>
      <c r="F52" s="82"/>
      <c r="G52" s="82"/>
      <c r="H52" s="82"/>
      <c r="I52" s="82"/>
      <c r="J52" s="82"/>
      <c r="K52" s="82"/>
      <c r="L52" s="82"/>
      <c r="M52" s="82"/>
      <c r="N52" s="82"/>
      <c r="O52" s="82"/>
      <c r="P52" s="82"/>
      <c r="Q52" s="82"/>
      <c r="R52" s="82"/>
      <c r="S52" s="82"/>
      <c r="T52" s="82"/>
      <c r="U52" s="82"/>
      <c r="V52" s="82"/>
      <c r="W52" s="82"/>
      <c r="X52" s="82"/>
      <c r="Y52" s="82"/>
      <c r="Z52" s="82"/>
    </row>
    <row r="53" spans="1:26">
      <c r="B53" s="23" t="s">
        <v>70</v>
      </c>
      <c r="E53" s="82"/>
      <c r="F53" s="82"/>
      <c r="G53" s="82"/>
      <c r="H53" s="82"/>
      <c r="I53" s="82"/>
      <c r="J53" s="82"/>
      <c r="K53" s="82"/>
      <c r="L53" s="82"/>
      <c r="M53" s="82"/>
      <c r="N53" s="82"/>
      <c r="O53" s="82"/>
      <c r="P53" s="82"/>
      <c r="Q53" s="82"/>
      <c r="R53" s="82"/>
      <c r="S53" s="82"/>
      <c r="T53" s="82"/>
      <c r="U53" s="82"/>
      <c r="V53" s="82"/>
      <c r="W53" s="82"/>
      <c r="X53" s="82"/>
      <c r="Y53" s="82"/>
      <c r="Z53" s="82"/>
    </row>
    <row r="54" spans="1:26">
      <c r="C54" s="24" t="s">
        <v>82</v>
      </c>
      <c r="D54" s="60" t="s">
        <v>47</v>
      </c>
      <c r="E54" s="82">
        <v>617.42574886449904</v>
      </c>
      <c r="F54" s="82">
        <v>630.52298990194004</v>
      </c>
      <c r="G54" s="82">
        <v>639.65675281358199</v>
      </c>
      <c r="H54" s="82">
        <v>588.37234002783305</v>
      </c>
      <c r="I54" s="82">
        <v>570.35616179038402</v>
      </c>
      <c r="J54" s="82">
        <v>635.46805477549105</v>
      </c>
      <c r="K54" s="82">
        <v>581.48679074816596</v>
      </c>
      <c r="L54" s="82">
        <v>510.37071557364402</v>
      </c>
      <c r="M54" s="82">
        <v>483.68516581345199</v>
      </c>
      <c r="N54" s="82">
        <v>394.49888253383102</v>
      </c>
      <c r="O54" s="82">
        <v>338.29610482000902</v>
      </c>
      <c r="P54" s="82">
        <v>350.84197006941298</v>
      </c>
      <c r="Q54" s="82">
        <v>355.84258243576301</v>
      </c>
      <c r="R54" s="82">
        <v>370.59009427747799</v>
      </c>
      <c r="S54" s="82">
        <v>396.13920056132201</v>
      </c>
      <c r="T54" s="82">
        <v>386.40642619219</v>
      </c>
      <c r="U54" s="82">
        <v>382.50829925961199</v>
      </c>
      <c r="V54" s="82">
        <v>356.45995488160401</v>
      </c>
      <c r="W54" s="82">
        <v>311.22073140075099</v>
      </c>
      <c r="X54" s="82">
        <v>350.17320090670103</v>
      </c>
      <c r="Y54" s="82">
        <v>256.58005257907303</v>
      </c>
      <c r="Z54" s="82">
        <v>256.59220571582102</v>
      </c>
    </row>
    <row r="55" spans="1:26">
      <c r="C55" s="24" t="s">
        <v>83</v>
      </c>
      <c r="D55" s="60" t="s">
        <v>47</v>
      </c>
      <c r="E55" s="82">
        <v>80.980478888660002</v>
      </c>
      <c r="F55" s="82">
        <v>101.504082057926</v>
      </c>
      <c r="G55" s="82">
        <v>171.693951821799</v>
      </c>
      <c r="H55" s="82">
        <v>237.15225319999999</v>
      </c>
      <c r="I55" s="82">
        <v>272.874207722449</v>
      </c>
      <c r="J55" s="82">
        <v>311.25053414646999</v>
      </c>
      <c r="K55" s="82">
        <v>354.81685092455598</v>
      </c>
      <c r="L55" s="82">
        <v>345.40991920765299</v>
      </c>
      <c r="M55" s="82">
        <v>412.66718144254202</v>
      </c>
      <c r="N55" s="82">
        <v>350.44573236323703</v>
      </c>
      <c r="O55" s="82">
        <v>356.85493031856703</v>
      </c>
      <c r="P55" s="82">
        <v>471.18735487330702</v>
      </c>
      <c r="Q55" s="82">
        <v>605.540200048261</v>
      </c>
      <c r="R55" s="82">
        <v>705.73457726598497</v>
      </c>
      <c r="S55" s="82">
        <v>802.19824265657803</v>
      </c>
      <c r="T55" s="82">
        <v>850.98410554427505</v>
      </c>
      <c r="U55" s="82">
        <v>969.39822604459505</v>
      </c>
      <c r="V55" s="82">
        <v>791.20705055282701</v>
      </c>
      <c r="W55" s="82">
        <v>646.77500550587797</v>
      </c>
      <c r="X55" s="82">
        <v>708.10542032958006</v>
      </c>
      <c r="Y55" s="82">
        <v>798.65291044533797</v>
      </c>
      <c r="Z55" s="82">
        <v>655.53483162562804</v>
      </c>
    </row>
    <row r="56" spans="1:26">
      <c r="C56" s="11" t="s">
        <v>386</v>
      </c>
      <c r="D56" s="60" t="s">
        <v>47</v>
      </c>
      <c r="E56" s="82">
        <v>777.43841004619605</v>
      </c>
      <c r="F56" s="82">
        <v>839.319663299225</v>
      </c>
      <c r="G56" s="82">
        <v>842.91606051682299</v>
      </c>
      <c r="H56" s="82">
        <v>847.59824008787496</v>
      </c>
      <c r="I56" s="82">
        <v>869.95456286146498</v>
      </c>
      <c r="J56" s="82">
        <v>893.58785104292997</v>
      </c>
      <c r="K56" s="82">
        <v>826.94948728490397</v>
      </c>
      <c r="L56" s="82">
        <v>922.85600378804804</v>
      </c>
      <c r="M56" s="82">
        <v>959.34561893335797</v>
      </c>
      <c r="N56" s="82">
        <v>878.63269038133399</v>
      </c>
      <c r="O56" s="82">
        <v>838.87316871245196</v>
      </c>
      <c r="P56" s="82">
        <v>1018.40624558089</v>
      </c>
      <c r="Q56" s="82">
        <v>1063.87883869232</v>
      </c>
      <c r="R56" s="82">
        <v>1193.7200725205601</v>
      </c>
      <c r="S56" s="82">
        <v>1372.57966439796</v>
      </c>
      <c r="T56" s="82">
        <v>1430.42370699258</v>
      </c>
      <c r="U56" s="82">
        <v>1405.43802556269</v>
      </c>
      <c r="V56" s="82">
        <v>1411.57368704546</v>
      </c>
      <c r="W56" s="82">
        <v>1257.54339758627</v>
      </c>
      <c r="X56" s="82">
        <v>1227.12645613876</v>
      </c>
      <c r="Y56" s="82">
        <v>1356.3278133623101</v>
      </c>
      <c r="Z56" s="82">
        <v>1371.92011501355</v>
      </c>
    </row>
    <row r="57" spans="1:26">
      <c r="A57" s="25"/>
      <c r="B57" s="25"/>
      <c r="C57" s="27" t="s">
        <v>303</v>
      </c>
      <c r="D57" s="62" t="s">
        <v>47</v>
      </c>
      <c r="E57" s="91">
        <v>1475.84463779935</v>
      </c>
      <c r="F57" s="91">
        <v>1571.3467352590901</v>
      </c>
      <c r="G57" s="91">
        <v>1654.2667651521999</v>
      </c>
      <c r="H57" s="91">
        <v>1673.1228333157101</v>
      </c>
      <c r="I57" s="91">
        <v>1713.1849323742999</v>
      </c>
      <c r="J57" s="91">
        <v>1840.3064399648899</v>
      </c>
      <c r="K57" s="91">
        <v>1763.25312895763</v>
      </c>
      <c r="L57" s="91">
        <v>1778.63663856934</v>
      </c>
      <c r="M57" s="91">
        <v>1855.6979661893499</v>
      </c>
      <c r="N57" s="91">
        <v>1623.5773052784</v>
      </c>
      <c r="O57" s="91">
        <v>1534.0242038510301</v>
      </c>
      <c r="P57" s="91">
        <v>1840.4355705236101</v>
      </c>
      <c r="Q57" s="91">
        <v>2025.26162117634</v>
      </c>
      <c r="R57" s="91">
        <v>2270.0447440640201</v>
      </c>
      <c r="S57" s="91">
        <v>2570.91710761586</v>
      </c>
      <c r="T57" s="91">
        <v>2667.81423872905</v>
      </c>
      <c r="U57" s="91">
        <v>2757.3445508669001</v>
      </c>
      <c r="V57" s="91">
        <v>2559.2406924798902</v>
      </c>
      <c r="W57" s="91">
        <v>2215.5391344928998</v>
      </c>
      <c r="X57" s="91">
        <v>2285.40507737504</v>
      </c>
      <c r="Y57" s="91">
        <v>2411.5607763867301</v>
      </c>
      <c r="Z57" s="91">
        <v>2284.047152355</v>
      </c>
    </row>
    <row r="58" spans="1:26" ht="33.65" customHeight="1">
      <c r="E58" s="170" t="s">
        <v>416</v>
      </c>
      <c r="F58" s="170"/>
      <c r="G58" s="170"/>
      <c r="H58" s="170"/>
      <c r="I58" s="170"/>
      <c r="J58" s="170"/>
      <c r="K58" s="170"/>
      <c r="L58" s="170"/>
      <c r="M58" s="170"/>
      <c r="N58" s="170"/>
      <c r="O58" s="170"/>
      <c r="P58" s="170"/>
      <c r="Q58" s="170"/>
      <c r="R58" s="170"/>
      <c r="S58" s="170"/>
      <c r="T58" s="170"/>
      <c r="U58" s="170"/>
      <c r="V58" s="170"/>
      <c r="W58" s="170"/>
      <c r="X58" s="170"/>
    </row>
    <row r="59" spans="1:26">
      <c r="A59" t="s">
        <v>2</v>
      </c>
      <c r="G59" s="34"/>
      <c r="H59" s="34"/>
      <c r="I59" s="34"/>
      <c r="J59" s="34"/>
      <c r="K59" s="34"/>
      <c r="L59" s="34"/>
      <c r="M59" s="34"/>
      <c r="N59" s="34"/>
      <c r="O59" s="34"/>
      <c r="P59" s="34"/>
      <c r="Q59" s="34"/>
      <c r="R59" s="34"/>
      <c r="S59" s="34"/>
      <c r="T59" s="34"/>
      <c r="U59" s="34"/>
      <c r="V59" s="34"/>
    </row>
    <row r="60" spans="1:26">
      <c r="A60" t="s">
        <v>2</v>
      </c>
      <c r="G60" s="34"/>
      <c r="H60" s="34"/>
      <c r="I60" s="34"/>
      <c r="J60" s="34"/>
      <c r="K60" s="34"/>
      <c r="L60" s="34"/>
      <c r="M60" s="34"/>
      <c r="N60" s="34"/>
      <c r="O60" s="34"/>
      <c r="P60" s="34"/>
      <c r="Q60" s="34"/>
      <c r="R60" s="34"/>
      <c r="S60" s="34"/>
      <c r="T60" s="34"/>
      <c r="U60" s="34"/>
      <c r="V60" s="34"/>
    </row>
    <row r="61" spans="1:26">
      <c r="A61" t="s">
        <v>2</v>
      </c>
      <c r="G61" s="34"/>
      <c r="H61" s="34"/>
      <c r="I61" s="34"/>
      <c r="J61" s="34"/>
      <c r="K61" s="34"/>
      <c r="L61" s="34"/>
      <c r="M61" s="34"/>
      <c r="N61" s="34"/>
      <c r="O61" s="34"/>
      <c r="P61" s="34"/>
      <c r="Q61" s="34"/>
      <c r="R61" s="34"/>
      <c r="S61" s="34"/>
      <c r="T61" s="34"/>
      <c r="U61" s="34"/>
      <c r="V61" s="34"/>
    </row>
    <row r="62" spans="1:26">
      <c r="A62" t="s">
        <v>2</v>
      </c>
      <c r="G62" s="34"/>
      <c r="H62" s="34"/>
      <c r="I62" s="34"/>
      <c r="J62" s="34"/>
      <c r="K62" s="34"/>
      <c r="L62" s="34"/>
      <c r="M62" s="34"/>
      <c r="N62" s="34"/>
      <c r="O62" s="34"/>
      <c r="P62" s="34"/>
      <c r="Q62" s="34"/>
      <c r="R62" s="34"/>
      <c r="S62" s="34"/>
      <c r="T62" s="34"/>
      <c r="U62" s="34"/>
      <c r="V62" s="34"/>
    </row>
    <row r="63" spans="1:26">
      <c r="A63" t="s">
        <v>2</v>
      </c>
      <c r="G63" s="34"/>
      <c r="H63" s="34"/>
      <c r="I63" s="34"/>
      <c r="J63" s="34"/>
      <c r="K63" s="34"/>
      <c r="L63" s="34"/>
      <c r="M63" s="34"/>
      <c r="N63" s="34"/>
      <c r="O63" s="34"/>
      <c r="P63" s="34"/>
      <c r="Q63" s="34"/>
      <c r="R63" s="34"/>
      <c r="S63" s="34"/>
      <c r="T63" s="34"/>
      <c r="U63" s="34"/>
      <c r="V63" s="34"/>
    </row>
    <row r="64" spans="1:26">
      <c r="A64" t="s">
        <v>2</v>
      </c>
      <c r="G64" s="34"/>
      <c r="H64" s="34"/>
      <c r="I64" s="34"/>
      <c r="J64" s="34"/>
      <c r="K64" s="34"/>
      <c r="L64" s="34"/>
      <c r="M64" s="34"/>
      <c r="N64" s="34"/>
      <c r="O64" s="34"/>
      <c r="P64" s="34"/>
      <c r="Q64" s="34"/>
      <c r="R64" s="34"/>
      <c r="S64" s="34"/>
      <c r="T64" s="34"/>
      <c r="U64" s="34"/>
      <c r="V64" s="34"/>
    </row>
    <row r="65" spans="1:1">
      <c r="A65" t="s">
        <v>2</v>
      </c>
    </row>
    <row r="66" spans="1:1">
      <c r="A66" t="s">
        <v>2</v>
      </c>
    </row>
    <row r="67" spans="1:1">
      <c r="A67" t="s">
        <v>2</v>
      </c>
    </row>
  </sheetData>
  <mergeCells count="2">
    <mergeCell ref="E58:X58"/>
    <mergeCell ref="A2:X2"/>
  </mergeCells>
  <conditionalFormatting sqref="E6:Z57">
    <cfRule type="cellIs" dxfId="53" priority="1"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889D5-24A8-41FA-A283-0973F06612D8}">
  <dimension ref="A1:AA188"/>
  <sheetViews>
    <sheetView zoomScaleNormal="100" workbookViewId="0">
      <selection activeCell="A13" sqref="A13:N13"/>
    </sheetView>
  </sheetViews>
  <sheetFormatPr defaultColWidth="9.26953125" defaultRowHeight="14.5"/>
  <cols>
    <col min="1" max="3" width="3" customWidth="1"/>
    <col min="4" max="4" width="18.26953125" customWidth="1"/>
    <col min="5" max="5" width="7.26953125" bestFit="1" customWidth="1"/>
    <col min="6" max="22" width="7" bestFit="1" customWidth="1"/>
    <col min="23" max="23" width="7" customWidth="1"/>
    <col min="24" max="27" width="7" bestFit="1" customWidth="1"/>
    <col min="28" max="28" width="9" customWidth="1"/>
  </cols>
  <sheetData>
    <row r="1" spans="1:27" ht="71.25" customHeight="1">
      <c r="A1" t="s">
        <v>2</v>
      </c>
    </row>
    <row r="2" spans="1:27" ht="21">
      <c r="A2" s="162" t="s">
        <v>421</v>
      </c>
      <c r="B2" s="162"/>
      <c r="C2" s="162"/>
      <c r="D2" s="162"/>
      <c r="E2" s="162"/>
      <c r="F2" s="162"/>
      <c r="G2" s="162"/>
      <c r="H2" s="162"/>
      <c r="I2" s="162"/>
      <c r="J2" s="162"/>
      <c r="K2" s="162"/>
      <c r="L2" s="162"/>
      <c r="M2" s="162"/>
      <c r="N2" s="162"/>
      <c r="O2" s="162"/>
      <c r="P2" s="162"/>
      <c r="Q2" s="162"/>
      <c r="R2" s="162"/>
      <c r="S2" s="162"/>
      <c r="T2" s="162"/>
      <c r="U2" s="162"/>
      <c r="V2" s="162"/>
      <c r="W2" s="162"/>
      <c r="X2" s="162"/>
      <c r="Y2" s="162"/>
    </row>
    <row r="3" spans="1:27" s="21" customFormat="1" ht="12">
      <c r="A3" s="64" t="s">
        <v>38</v>
      </c>
      <c r="B3" s="64" t="s">
        <v>38</v>
      </c>
      <c r="C3" s="64" t="s">
        <v>38</v>
      </c>
      <c r="D3" s="64" t="s">
        <v>38</v>
      </c>
      <c r="E3" s="66" t="s">
        <v>37</v>
      </c>
      <c r="F3" s="64" t="s">
        <v>297</v>
      </c>
      <c r="G3" s="64" t="s">
        <v>298</v>
      </c>
      <c r="H3" s="64" t="s">
        <v>299</v>
      </c>
      <c r="I3" s="64" t="s">
        <v>300</v>
      </c>
      <c r="J3" s="64" t="s">
        <v>281</v>
      </c>
      <c r="K3" s="64" t="s">
        <v>282</v>
      </c>
      <c r="L3" s="64" t="s">
        <v>283</v>
      </c>
      <c r="M3" s="64" t="s">
        <v>284</v>
      </c>
      <c r="N3" s="64" t="s">
        <v>285</v>
      </c>
      <c r="O3" s="64" t="s">
        <v>286</v>
      </c>
      <c r="P3" s="64" t="s">
        <v>287</v>
      </c>
      <c r="Q3" s="64" t="s">
        <v>288</v>
      </c>
      <c r="R3" s="64" t="s">
        <v>289</v>
      </c>
      <c r="S3" s="64" t="s">
        <v>290</v>
      </c>
      <c r="T3" s="64" t="s">
        <v>291</v>
      </c>
      <c r="U3" s="64" t="s">
        <v>292</v>
      </c>
      <c r="V3" s="64" t="s">
        <v>293</v>
      </c>
      <c r="W3" s="64" t="s">
        <v>294</v>
      </c>
      <c r="X3" s="64" t="s">
        <v>295</v>
      </c>
      <c r="Y3" s="64" t="s">
        <v>305</v>
      </c>
      <c r="Z3" s="64" t="s">
        <v>326</v>
      </c>
      <c r="AA3" s="64" t="s">
        <v>331</v>
      </c>
    </row>
    <row r="4" spans="1:27">
      <c r="A4" s="23" t="s">
        <v>81</v>
      </c>
    </row>
    <row r="5" spans="1:27">
      <c r="B5" s="22" t="s">
        <v>266</v>
      </c>
    </row>
    <row r="6" spans="1:27">
      <c r="C6" s="22" t="s">
        <v>389</v>
      </c>
    </row>
    <row r="7" spans="1:27">
      <c r="D7" s="11" t="s">
        <v>274</v>
      </c>
      <c r="E7" s="58" t="s">
        <v>269</v>
      </c>
      <c r="F7" s="82">
        <v>1253.60850612482</v>
      </c>
      <c r="G7" s="82">
        <v>1296.3374238122899</v>
      </c>
      <c r="H7" s="82">
        <v>1257.6223414997601</v>
      </c>
      <c r="I7" s="82">
        <v>1296.9166195497501</v>
      </c>
      <c r="J7" s="82">
        <v>1126.71596212799</v>
      </c>
      <c r="K7" s="82">
        <v>1032.1518654914601</v>
      </c>
      <c r="L7" s="82">
        <v>944.66003155643</v>
      </c>
      <c r="M7" s="82">
        <v>818.19173238084102</v>
      </c>
      <c r="N7" s="82">
        <v>533.72643732293204</v>
      </c>
      <c r="O7" s="82">
        <v>614.941341322933</v>
      </c>
      <c r="P7" s="82">
        <v>544.30664699999795</v>
      </c>
      <c r="Q7" s="82">
        <v>555.95395604009502</v>
      </c>
      <c r="R7" s="82">
        <v>573.78976014334398</v>
      </c>
      <c r="S7" s="82">
        <v>574.56972899825803</v>
      </c>
      <c r="T7" s="82">
        <v>628.62437300000101</v>
      </c>
      <c r="U7" s="82">
        <v>666.53652199999999</v>
      </c>
      <c r="V7" s="82">
        <v>652.82104107999896</v>
      </c>
      <c r="W7" s="82">
        <v>456.13996929479902</v>
      </c>
      <c r="X7" s="82">
        <v>305.61903242533299</v>
      </c>
      <c r="Y7" s="82">
        <v>412.15795542533402</v>
      </c>
      <c r="Z7" s="82">
        <v>401.53345142533101</v>
      </c>
      <c r="AA7" s="82">
        <v>452.184608999999</v>
      </c>
    </row>
    <row r="8" spans="1:27">
      <c r="D8" s="24" t="s">
        <v>84</v>
      </c>
      <c r="E8" s="58" t="s">
        <v>269</v>
      </c>
      <c r="F8" s="82">
        <v>622.67399999999998</v>
      </c>
      <c r="G8" s="82">
        <v>540.4212</v>
      </c>
      <c r="H8" s="82">
        <v>508.84575000000001</v>
      </c>
      <c r="I8" s="82">
        <v>525.75900000000001</v>
      </c>
      <c r="J8" s="82">
        <v>629.65899999999999</v>
      </c>
      <c r="K8" s="82">
        <v>609.74199999999996</v>
      </c>
      <c r="L8" s="82">
        <v>468.08800000000002</v>
      </c>
      <c r="M8" s="82">
        <v>496.80458800000002</v>
      </c>
      <c r="N8" s="82">
        <v>506.04324200000002</v>
      </c>
      <c r="O8" s="82">
        <v>450.15395599999999</v>
      </c>
      <c r="P8" s="82">
        <v>315.05989799999998</v>
      </c>
      <c r="Q8" s="82">
        <v>272.56911500000001</v>
      </c>
      <c r="R8" s="82">
        <v>281.07818600000002</v>
      </c>
      <c r="S8" s="82">
        <v>263.42384099999998</v>
      </c>
      <c r="T8" s="82">
        <v>284.04492399999998</v>
      </c>
      <c r="U8" s="82">
        <v>278.85746699999999</v>
      </c>
      <c r="V8" s="82">
        <v>254.83690100000001</v>
      </c>
      <c r="W8" s="82">
        <v>149.06377900000001</v>
      </c>
      <c r="X8" s="82">
        <v>75.793087999999997</v>
      </c>
      <c r="Y8" s="82">
        <v>187.61247800000001</v>
      </c>
      <c r="Z8" s="82">
        <v>229.11656300000001</v>
      </c>
      <c r="AA8" s="82">
        <v>234.78556499999999</v>
      </c>
    </row>
    <row r="9" spans="1:27">
      <c r="D9" s="24" t="s">
        <v>76</v>
      </c>
      <c r="E9" s="58" t="s">
        <v>269</v>
      </c>
      <c r="F9" s="82">
        <v>27.9725353376862</v>
      </c>
      <c r="G9" s="82">
        <v>69.030857893967195</v>
      </c>
      <c r="H9" s="82">
        <v>79.240380450248196</v>
      </c>
      <c r="I9" s="82">
        <v>58.296380450248201</v>
      </c>
      <c r="J9" s="82">
        <v>79.943380450248199</v>
      </c>
      <c r="K9" s="82">
        <v>64.007999999999996</v>
      </c>
      <c r="L9" s="82">
        <v>28.135999999999999</v>
      </c>
      <c r="M9" s="82">
        <v>40.462066999999898</v>
      </c>
      <c r="N9" s="82">
        <v>40.553643999999899</v>
      </c>
      <c r="O9" s="82">
        <v>53.8861249999999</v>
      </c>
      <c r="P9" s="82">
        <v>54.311133000000297</v>
      </c>
      <c r="Q9" s="82">
        <v>48.824655153846102</v>
      </c>
      <c r="R9" s="82">
        <v>69.100865153846101</v>
      </c>
      <c r="S9" s="82">
        <v>38.262988884749902</v>
      </c>
      <c r="T9" s="82">
        <v>44.858468700000003</v>
      </c>
      <c r="U9" s="82">
        <v>31.968012999999999</v>
      </c>
      <c r="V9" s="82">
        <v>36.8295209999999</v>
      </c>
      <c r="W9" s="82">
        <v>23.842668</v>
      </c>
      <c r="X9" s="82">
        <v>18.389952000000001</v>
      </c>
      <c r="Y9" s="82">
        <v>22.629358</v>
      </c>
      <c r="Z9" s="82">
        <v>26.8424019999999</v>
      </c>
      <c r="AA9" s="82">
        <v>27.3369309999999</v>
      </c>
    </row>
    <row r="10" spans="1:27">
      <c r="D10" s="24" t="s">
        <v>43</v>
      </c>
      <c r="E10" s="58" t="s">
        <v>269</v>
      </c>
      <c r="F10" s="82">
        <v>1904.25504146251</v>
      </c>
      <c r="G10" s="82">
        <v>1905.7894817062599</v>
      </c>
      <c r="H10" s="82">
        <v>1845.7084719500101</v>
      </c>
      <c r="I10" s="82">
        <v>1880.972</v>
      </c>
      <c r="J10" s="82">
        <v>1836.3183425782399</v>
      </c>
      <c r="K10" s="82">
        <v>1705.9018654914601</v>
      </c>
      <c r="L10" s="82">
        <v>1440.88403155643</v>
      </c>
      <c r="M10" s="82">
        <v>1355.4583873808399</v>
      </c>
      <c r="N10" s="82">
        <v>1080.32332332293</v>
      </c>
      <c r="O10" s="82">
        <v>1118.98142232293</v>
      </c>
      <c r="P10" s="82">
        <v>913.67767799999797</v>
      </c>
      <c r="Q10" s="82">
        <v>877.34772619394096</v>
      </c>
      <c r="R10" s="82">
        <v>923.968811297191</v>
      </c>
      <c r="S10" s="82">
        <v>876.25655888300798</v>
      </c>
      <c r="T10" s="82">
        <v>957.52776570000105</v>
      </c>
      <c r="U10" s="82">
        <v>977.36200199999996</v>
      </c>
      <c r="V10" s="82">
        <v>944.48746307999897</v>
      </c>
      <c r="W10" s="82">
        <v>629.04641629479897</v>
      </c>
      <c r="X10" s="82">
        <v>399.80207242533299</v>
      </c>
      <c r="Y10" s="82">
        <v>622.399791425334</v>
      </c>
      <c r="Z10" s="82">
        <v>657.49241642533104</v>
      </c>
      <c r="AA10" s="82">
        <v>714.30710499999896</v>
      </c>
    </row>
    <row r="11" spans="1:27">
      <c r="C11" s="23" t="s">
        <v>83</v>
      </c>
      <c r="E11" s="61"/>
      <c r="F11" s="82"/>
      <c r="G11" s="82"/>
      <c r="H11" s="82"/>
      <c r="I11" s="82"/>
      <c r="J11" s="82"/>
      <c r="K11" s="82"/>
      <c r="L11" s="82"/>
      <c r="M11" s="82"/>
      <c r="N11" s="82"/>
      <c r="O11" s="82"/>
      <c r="P11" s="82"/>
      <c r="Q11" s="82"/>
      <c r="R11" s="82"/>
      <c r="S11" s="82"/>
      <c r="T11" s="82"/>
      <c r="U11" s="82"/>
      <c r="V11" s="82"/>
      <c r="W11" s="82"/>
      <c r="X11" s="82"/>
      <c r="Y11" s="82"/>
      <c r="Z11" s="82"/>
      <c r="AA11" s="82"/>
    </row>
    <row r="12" spans="1:27">
      <c r="D12" s="11" t="s">
        <v>274</v>
      </c>
      <c r="E12" s="58" t="s">
        <v>269</v>
      </c>
      <c r="F12" s="82">
        <v>81.028199999999998</v>
      </c>
      <c r="G12" s="82">
        <v>94.555999999999997</v>
      </c>
      <c r="H12" s="82">
        <v>134.74700000000001</v>
      </c>
      <c r="I12" s="82">
        <v>67.555000000000007</v>
      </c>
      <c r="J12" s="82">
        <v>75.275000000000006</v>
      </c>
      <c r="K12" s="82">
        <v>132.34899999999999</v>
      </c>
      <c r="L12" s="82">
        <v>123.578</v>
      </c>
      <c r="M12" s="82">
        <v>115.383476</v>
      </c>
      <c r="N12" s="82">
        <v>100.038534</v>
      </c>
      <c r="O12" s="82">
        <v>62.784256999999997</v>
      </c>
      <c r="P12" s="82">
        <v>67.207756000000003</v>
      </c>
      <c r="Q12" s="82">
        <v>56.389209000000001</v>
      </c>
      <c r="R12" s="82">
        <v>38.546844</v>
      </c>
      <c r="S12" s="82">
        <v>34.300232000000001</v>
      </c>
      <c r="T12" s="82">
        <v>36.689960999999997</v>
      </c>
      <c r="U12" s="82">
        <v>48.250765000000001</v>
      </c>
      <c r="V12" s="82">
        <v>49.988416000000001</v>
      </c>
      <c r="W12" s="82">
        <v>131.00632899999999</v>
      </c>
      <c r="X12" s="82">
        <v>140.649597</v>
      </c>
      <c r="Y12" s="82">
        <v>102.665903</v>
      </c>
      <c r="Z12" s="82">
        <v>78.441784999999996</v>
      </c>
      <c r="AA12" s="82">
        <v>59.524906999999999</v>
      </c>
    </row>
    <row r="13" spans="1:27">
      <c r="D13" s="24" t="s">
        <v>84</v>
      </c>
      <c r="E13" s="58" t="s">
        <v>269</v>
      </c>
      <c r="F13" s="82">
        <v>44.628100000000003</v>
      </c>
      <c r="G13" s="82">
        <v>38.543999999999997</v>
      </c>
      <c r="H13" s="82">
        <v>38.255000000000003</v>
      </c>
      <c r="I13" s="82">
        <v>52.588000000000001</v>
      </c>
      <c r="J13" s="82">
        <v>38.744999999999997</v>
      </c>
      <c r="K13" s="82">
        <v>77.078999999999994</v>
      </c>
      <c r="L13" s="82">
        <v>94.301000000000002</v>
      </c>
      <c r="M13" s="82">
        <v>93.494806999999994</v>
      </c>
      <c r="N13" s="82">
        <v>63.218076000000003</v>
      </c>
      <c r="O13" s="82">
        <v>33.257993999999997</v>
      </c>
      <c r="P13" s="82">
        <v>19.894480999999999</v>
      </c>
      <c r="Q13" s="82">
        <v>5.899146</v>
      </c>
      <c r="R13" s="82">
        <v>31.637708</v>
      </c>
      <c r="S13" s="82">
        <v>27.709187</v>
      </c>
      <c r="T13" s="82">
        <v>23.431695999999999</v>
      </c>
      <c r="U13" s="82">
        <v>200.900757</v>
      </c>
      <c r="V13" s="82">
        <v>288.25086499999998</v>
      </c>
      <c r="W13" s="82">
        <v>113.49553899999999</v>
      </c>
      <c r="X13" s="82">
        <v>134.101147</v>
      </c>
      <c r="Y13" s="82">
        <v>86.151173</v>
      </c>
      <c r="Z13" s="82">
        <v>90.595776999999998</v>
      </c>
      <c r="AA13" s="82">
        <v>238.71497199999999</v>
      </c>
    </row>
    <row r="14" spans="1:27">
      <c r="D14" s="24" t="s">
        <v>76</v>
      </c>
      <c r="E14" s="58" t="s">
        <v>269</v>
      </c>
      <c r="F14" s="82">
        <v>5.1749999999999998</v>
      </c>
      <c r="G14" s="82">
        <v>8.1289999999999996</v>
      </c>
      <c r="H14" s="82">
        <v>13.954000000000001</v>
      </c>
      <c r="I14" s="82">
        <v>17.035</v>
      </c>
      <c r="J14" s="82">
        <v>14.73</v>
      </c>
      <c r="K14" s="82">
        <v>19.25</v>
      </c>
      <c r="L14" s="82">
        <v>10.116</v>
      </c>
      <c r="M14" s="82">
        <v>6.9709989999999999</v>
      </c>
      <c r="N14" s="82">
        <v>10.879308999999999</v>
      </c>
      <c r="O14" s="82">
        <v>11.872868</v>
      </c>
      <c r="P14" s="82">
        <v>10.831556000000001</v>
      </c>
      <c r="Q14" s="82">
        <v>3.9757020000000001</v>
      </c>
      <c r="R14" s="82">
        <v>1.801464</v>
      </c>
      <c r="S14" s="82">
        <v>1.0158389999999999</v>
      </c>
      <c r="T14" s="82">
        <v>5.1039580000000004</v>
      </c>
      <c r="U14" s="82">
        <v>4.7816289999999997</v>
      </c>
      <c r="V14" s="82">
        <v>13.760427</v>
      </c>
      <c r="W14" s="82">
        <v>20.585052999999998</v>
      </c>
      <c r="X14" s="82">
        <v>23.035610999999999</v>
      </c>
      <c r="Y14" s="82">
        <v>16.710875999999999</v>
      </c>
      <c r="Z14" s="82">
        <v>10.184998</v>
      </c>
      <c r="AA14" s="82">
        <v>4.5674399999999897</v>
      </c>
    </row>
    <row r="15" spans="1:27">
      <c r="D15" s="24" t="s">
        <v>43</v>
      </c>
      <c r="E15" s="58" t="s">
        <v>269</v>
      </c>
      <c r="F15" s="82">
        <v>131.34880000000001</v>
      </c>
      <c r="G15" s="82">
        <v>142.0419</v>
      </c>
      <c r="H15" s="82">
        <v>186.95599999999999</v>
      </c>
      <c r="I15" s="82">
        <v>137.178</v>
      </c>
      <c r="J15" s="82">
        <v>128.75</v>
      </c>
      <c r="K15" s="82">
        <v>228.678</v>
      </c>
      <c r="L15" s="82">
        <v>227.995</v>
      </c>
      <c r="M15" s="82">
        <v>215.84928199999999</v>
      </c>
      <c r="N15" s="82">
        <v>174.135919</v>
      </c>
      <c r="O15" s="82">
        <v>107.915119</v>
      </c>
      <c r="P15" s="82">
        <v>97.933792999999994</v>
      </c>
      <c r="Q15" s="82">
        <v>66.264056999999994</v>
      </c>
      <c r="R15" s="82">
        <v>71.986016000000006</v>
      </c>
      <c r="S15" s="82">
        <v>63.025258000000001</v>
      </c>
      <c r="T15" s="82">
        <v>65.225615000000005</v>
      </c>
      <c r="U15" s="82">
        <v>253.93315100000001</v>
      </c>
      <c r="V15" s="82">
        <v>351.999708</v>
      </c>
      <c r="W15" s="82">
        <v>265.08692100000002</v>
      </c>
      <c r="X15" s="82">
        <v>297.78635500000001</v>
      </c>
      <c r="Y15" s="82">
        <v>205.527952</v>
      </c>
      <c r="Z15" s="82">
        <v>179.22255999999999</v>
      </c>
      <c r="AA15" s="82">
        <v>302.80731900000001</v>
      </c>
    </row>
    <row r="16" spans="1:27">
      <c r="C16" s="23" t="s">
        <v>42</v>
      </c>
      <c r="E16" s="61"/>
      <c r="F16" s="82"/>
      <c r="G16" s="82"/>
      <c r="H16" s="82"/>
      <c r="I16" s="82"/>
      <c r="J16" s="82"/>
      <c r="K16" s="82"/>
      <c r="L16" s="82"/>
      <c r="M16" s="82"/>
      <c r="N16" s="82"/>
      <c r="O16" s="82"/>
      <c r="P16" s="82"/>
      <c r="Q16" s="82"/>
      <c r="R16" s="82"/>
      <c r="S16" s="82"/>
      <c r="T16" s="82"/>
      <c r="U16" s="82"/>
      <c r="V16" s="82"/>
      <c r="W16" s="82"/>
      <c r="X16" s="82"/>
      <c r="Y16" s="82"/>
      <c r="Z16" s="82"/>
      <c r="AA16" s="82"/>
    </row>
    <row r="17" spans="1:27">
      <c r="D17" s="11" t="s">
        <v>422</v>
      </c>
      <c r="E17" s="58" t="s">
        <v>269</v>
      </c>
      <c r="F17" s="82">
        <v>1850.21109</v>
      </c>
      <c r="G17" s="82">
        <v>2097.067</v>
      </c>
      <c r="H17" s="82">
        <v>2168.0770000000002</v>
      </c>
      <c r="I17" s="82">
        <v>2266.9380000000001</v>
      </c>
      <c r="J17" s="82">
        <v>2148.4185970889898</v>
      </c>
      <c r="K17" s="82">
        <v>2386.6147000000001</v>
      </c>
      <c r="L17" s="82">
        <v>2339.6087914678901</v>
      </c>
      <c r="M17" s="82">
        <v>2505.9014379999999</v>
      </c>
      <c r="N17" s="82">
        <v>2480.43650833333</v>
      </c>
      <c r="O17" s="82">
        <v>2306.1191571947202</v>
      </c>
      <c r="P17" s="82">
        <v>2311.37072806271</v>
      </c>
      <c r="Q17" s="82">
        <v>2456.1592780000001</v>
      </c>
      <c r="R17" s="82">
        <v>2583.8340939999998</v>
      </c>
      <c r="S17" s="82">
        <v>2566.0943790000001</v>
      </c>
      <c r="T17" s="82">
        <v>2790.4047169999999</v>
      </c>
      <c r="U17" s="82">
        <v>2787.8071340000001</v>
      </c>
      <c r="V17" s="82">
        <v>2726.405749</v>
      </c>
      <c r="W17" s="82">
        <v>3169.246228</v>
      </c>
      <c r="X17" s="82">
        <v>3103.5433320000002</v>
      </c>
      <c r="Y17" s="82">
        <v>1934.8543520000001</v>
      </c>
      <c r="Z17" s="82">
        <v>1728.9302299999899</v>
      </c>
      <c r="AA17" s="82">
        <v>1582.974316</v>
      </c>
    </row>
    <row r="18" spans="1:27">
      <c r="D18" s="24" t="s">
        <v>84</v>
      </c>
      <c r="E18" s="58" t="s">
        <v>269</v>
      </c>
      <c r="F18" s="82">
        <v>1343.8988400000001</v>
      </c>
      <c r="G18" s="82">
        <v>1155.212</v>
      </c>
      <c r="H18" s="82">
        <v>1315.453</v>
      </c>
      <c r="I18" s="82">
        <v>1319.826</v>
      </c>
      <c r="J18" s="82">
        <v>1582.80837</v>
      </c>
      <c r="K18" s="82">
        <v>1583.93057</v>
      </c>
      <c r="L18" s="82">
        <v>1323.0677800000001</v>
      </c>
      <c r="M18" s="82">
        <v>1662.9255149999999</v>
      </c>
      <c r="N18" s="82">
        <v>2209.9667226666702</v>
      </c>
      <c r="O18" s="82">
        <v>2055.6358650000002</v>
      </c>
      <c r="P18" s="82">
        <v>1919.7090949999999</v>
      </c>
      <c r="Q18" s="82">
        <v>1873.62156</v>
      </c>
      <c r="R18" s="82">
        <v>1829.507347</v>
      </c>
      <c r="S18" s="82">
        <v>1995.2907379999999</v>
      </c>
      <c r="T18" s="82">
        <v>2069.0966320000002</v>
      </c>
      <c r="U18" s="82">
        <v>2081.4940069999998</v>
      </c>
      <c r="V18" s="82">
        <v>2205.137338</v>
      </c>
      <c r="W18" s="82">
        <v>2381.3282720000002</v>
      </c>
      <c r="X18" s="82">
        <v>2405.8037850000001</v>
      </c>
      <c r="Y18" s="82">
        <v>1850.1876500000001</v>
      </c>
      <c r="Z18" s="82">
        <v>1600.0660539999999</v>
      </c>
      <c r="AA18" s="82">
        <v>1775.4780559999999</v>
      </c>
    </row>
    <row r="19" spans="1:27">
      <c r="D19" s="24" t="s">
        <v>76</v>
      </c>
      <c r="E19" s="58" t="s">
        <v>269</v>
      </c>
      <c r="F19" s="82">
        <v>110.25882</v>
      </c>
      <c r="G19" s="82">
        <v>45.594999999999999</v>
      </c>
      <c r="H19" s="82">
        <v>35.143000000000001</v>
      </c>
      <c r="I19" s="82">
        <v>47.373939999999997</v>
      </c>
      <c r="J19" s="82">
        <v>95.958939999999998</v>
      </c>
      <c r="K19" s="82">
        <v>100.286</v>
      </c>
      <c r="L19" s="82">
        <v>103.06388</v>
      </c>
      <c r="M19" s="82">
        <v>155.329432</v>
      </c>
      <c r="N19" s="82">
        <v>137.62693999999701</v>
      </c>
      <c r="O19" s="82">
        <v>156.606682000002</v>
      </c>
      <c r="P19" s="82">
        <v>166.26013419999799</v>
      </c>
      <c r="Q19" s="82">
        <v>117.509916</v>
      </c>
      <c r="R19" s="82">
        <v>91.833337</v>
      </c>
      <c r="S19" s="82">
        <v>89.480526999999995</v>
      </c>
      <c r="T19" s="82">
        <v>97.738545000000002</v>
      </c>
      <c r="U19" s="82">
        <v>123.623857</v>
      </c>
      <c r="V19" s="82">
        <v>153.00578300000001</v>
      </c>
      <c r="W19" s="82">
        <v>141.053437</v>
      </c>
      <c r="X19" s="82">
        <v>237.71154000000001</v>
      </c>
      <c r="Y19" s="82">
        <v>142.05063999999999</v>
      </c>
      <c r="Z19" s="82">
        <v>140.25489999999999</v>
      </c>
      <c r="AA19" s="82">
        <v>137.49804</v>
      </c>
    </row>
    <row r="20" spans="1:27">
      <c r="D20" s="24" t="s">
        <v>43</v>
      </c>
      <c r="E20" s="58" t="s">
        <v>269</v>
      </c>
      <c r="F20" s="82">
        <v>3304.3687500000001</v>
      </c>
      <c r="G20" s="82">
        <v>3297.8739999999998</v>
      </c>
      <c r="H20" s="82">
        <v>3518.6729999999998</v>
      </c>
      <c r="I20" s="82">
        <v>3634.1379400000001</v>
      </c>
      <c r="J20" s="82">
        <v>3827.18590708899</v>
      </c>
      <c r="K20" s="82">
        <v>4070.8312700000001</v>
      </c>
      <c r="L20" s="82">
        <v>3765.7404514678901</v>
      </c>
      <c r="M20" s="82">
        <v>4324.1563849999902</v>
      </c>
      <c r="N20" s="82">
        <v>4828.0301710000003</v>
      </c>
      <c r="O20" s="82">
        <v>4518.36170419472</v>
      </c>
      <c r="P20" s="82">
        <v>4397.3399572627104</v>
      </c>
      <c r="Q20" s="82">
        <v>4447.2907539999997</v>
      </c>
      <c r="R20" s="82">
        <v>4505.1747779999996</v>
      </c>
      <c r="S20" s="82">
        <v>4650.8656440000004</v>
      </c>
      <c r="T20" s="82">
        <v>4957.2398940000003</v>
      </c>
      <c r="U20" s="82">
        <v>4992.9249980000004</v>
      </c>
      <c r="V20" s="82">
        <v>5084.5488699999996</v>
      </c>
      <c r="W20" s="82">
        <v>5691.6279370000002</v>
      </c>
      <c r="X20" s="82">
        <v>5747.0586569999996</v>
      </c>
      <c r="Y20" s="82">
        <v>3927.0926420000001</v>
      </c>
      <c r="Z20" s="82">
        <v>3469.2511839999902</v>
      </c>
      <c r="AA20" s="82">
        <v>3495.9504120000001</v>
      </c>
    </row>
    <row r="21" spans="1:27">
      <c r="C21" s="23" t="s">
        <v>43</v>
      </c>
      <c r="E21" s="61"/>
      <c r="F21" s="82"/>
      <c r="G21" s="82"/>
      <c r="H21" s="82"/>
      <c r="I21" s="82"/>
      <c r="J21" s="82"/>
      <c r="K21" s="82"/>
      <c r="L21" s="82"/>
      <c r="M21" s="82"/>
      <c r="N21" s="82"/>
      <c r="O21" s="82"/>
      <c r="P21" s="82"/>
      <c r="Q21" s="82"/>
      <c r="R21" s="82"/>
      <c r="S21" s="82"/>
      <c r="T21" s="82"/>
      <c r="U21" s="82"/>
      <c r="V21" s="82"/>
      <c r="W21" s="82"/>
      <c r="X21" s="82"/>
      <c r="Y21" s="82"/>
      <c r="Z21" s="82"/>
      <c r="AA21" s="82"/>
    </row>
    <row r="22" spans="1:27">
      <c r="D22" s="11" t="s">
        <v>422</v>
      </c>
      <c r="E22" s="58" t="s">
        <v>269</v>
      </c>
      <c r="F22" s="82">
        <v>3184.84779612482</v>
      </c>
      <c r="G22" s="82">
        <v>3487.9604238122902</v>
      </c>
      <c r="H22" s="82">
        <v>3560.4463414997599</v>
      </c>
      <c r="I22" s="82">
        <v>3631.40961954975</v>
      </c>
      <c r="J22" s="82">
        <v>3350.4095592169801</v>
      </c>
      <c r="K22" s="82">
        <v>3551.1155654914601</v>
      </c>
      <c r="L22" s="82">
        <v>3407.8468230243202</v>
      </c>
      <c r="M22" s="82">
        <v>3439.4766463808401</v>
      </c>
      <c r="N22" s="82">
        <v>3114.2014796562698</v>
      </c>
      <c r="O22" s="82">
        <v>2983.8447555176499</v>
      </c>
      <c r="P22" s="82">
        <v>2922.8851310627101</v>
      </c>
      <c r="Q22" s="82">
        <v>3068.5024430400999</v>
      </c>
      <c r="R22" s="82">
        <v>3196.1706981433399</v>
      </c>
      <c r="S22" s="82">
        <v>3174.9643399982601</v>
      </c>
      <c r="T22" s="82">
        <v>3455.719051</v>
      </c>
      <c r="U22" s="82">
        <v>3502.5944209999998</v>
      </c>
      <c r="V22" s="82">
        <v>3429.2152060799999</v>
      </c>
      <c r="W22" s="82">
        <v>3756.3925262948001</v>
      </c>
      <c r="X22" s="82">
        <v>3549.8119614253301</v>
      </c>
      <c r="Y22" s="82">
        <v>2449.6782104253298</v>
      </c>
      <c r="Z22" s="82">
        <v>2208.9054664253199</v>
      </c>
      <c r="AA22" s="82">
        <v>2094.6838320000002</v>
      </c>
    </row>
    <row r="23" spans="1:27">
      <c r="D23" s="24" t="s">
        <v>84</v>
      </c>
      <c r="E23" s="58" t="s">
        <v>269</v>
      </c>
      <c r="F23" s="82">
        <v>2011.2009399999999</v>
      </c>
      <c r="G23" s="82">
        <v>1734.1772000000001</v>
      </c>
      <c r="H23" s="82">
        <v>1862.55375</v>
      </c>
      <c r="I23" s="82">
        <v>1898.173</v>
      </c>
      <c r="J23" s="82">
        <v>2251.2123700000002</v>
      </c>
      <c r="K23" s="82">
        <v>2270.7515699999999</v>
      </c>
      <c r="L23" s="82">
        <v>1885.45678</v>
      </c>
      <c r="M23" s="82">
        <v>2253.2249099999999</v>
      </c>
      <c r="N23" s="82">
        <v>2779.22804066667</v>
      </c>
      <c r="O23" s="82">
        <v>2539.0478149999999</v>
      </c>
      <c r="P23" s="82">
        <v>2254.663474</v>
      </c>
      <c r="Q23" s="82">
        <v>2152.089821</v>
      </c>
      <c r="R23" s="82">
        <v>2142.2232410000001</v>
      </c>
      <c r="S23" s="82">
        <v>2286.4237659999999</v>
      </c>
      <c r="T23" s="82">
        <v>2376.5732520000001</v>
      </c>
      <c r="U23" s="82">
        <v>2561.2522309999999</v>
      </c>
      <c r="V23" s="82">
        <v>2748.2251040000001</v>
      </c>
      <c r="W23" s="82">
        <v>2643.8875899999998</v>
      </c>
      <c r="X23" s="82">
        <v>2615.6980199999998</v>
      </c>
      <c r="Y23" s="82">
        <v>2123.9513010000001</v>
      </c>
      <c r="Z23" s="82">
        <v>1919.7783939999999</v>
      </c>
      <c r="AA23" s="82">
        <v>2248.9785929999998</v>
      </c>
    </row>
    <row r="24" spans="1:27">
      <c r="D24" s="24" t="s">
        <v>76</v>
      </c>
      <c r="E24" s="58" t="s">
        <v>269</v>
      </c>
      <c r="F24" s="82">
        <v>143.40635533768599</v>
      </c>
      <c r="G24" s="82">
        <v>122.754857893967</v>
      </c>
      <c r="H24" s="82">
        <v>128.33738045024799</v>
      </c>
      <c r="I24" s="82">
        <v>122.705320450248</v>
      </c>
      <c r="J24" s="82">
        <v>190.63232045024799</v>
      </c>
      <c r="K24" s="82">
        <v>183.54400000000001</v>
      </c>
      <c r="L24" s="82">
        <v>141.31587999999999</v>
      </c>
      <c r="M24" s="82">
        <v>202.76249799999999</v>
      </c>
      <c r="N24" s="82">
        <v>189.059892999997</v>
      </c>
      <c r="O24" s="82">
        <v>222.365675000002</v>
      </c>
      <c r="P24" s="82">
        <v>231.40282319999801</v>
      </c>
      <c r="Q24" s="82">
        <v>170.310273153846</v>
      </c>
      <c r="R24" s="82">
        <v>162.73566615384601</v>
      </c>
      <c r="S24" s="82">
        <v>128.75935488475</v>
      </c>
      <c r="T24" s="82">
        <v>147.7009717</v>
      </c>
      <c r="U24" s="82">
        <v>160.37349900000001</v>
      </c>
      <c r="V24" s="82">
        <v>203.595731</v>
      </c>
      <c r="W24" s="82">
        <v>185.48115799999999</v>
      </c>
      <c r="X24" s="82">
        <v>279.13710300000002</v>
      </c>
      <c r="Y24" s="82">
        <v>181.390874</v>
      </c>
      <c r="Z24" s="82">
        <v>177.28229999999999</v>
      </c>
      <c r="AA24" s="82">
        <v>169.402411</v>
      </c>
    </row>
    <row r="25" spans="1:27">
      <c r="D25" s="24" t="s">
        <v>43</v>
      </c>
      <c r="E25" s="58" t="s">
        <v>269</v>
      </c>
      <c r="F25" s="82">
        <v>5339.9725914625096</v>
      </c>
      <c r="G25" s="82">
        <v>5345.7053817062597</v>
      </c>
      <c r="H25" s="82">
        <v>5551.3374719500098</v>
      </c>
      <c r="I25" s="82">
        <v>5652.2879400000002</v>
      </c>
      <c r="J25" s="82">
        <v>5792.2542496672304</v>
      </c>
      <c r="K25" s="82">
        <v>6005.4111354914603</v>
      </c>
      <c r="L25" s="82">
        <v>5434.6194830243203</v>
      </c>
      <c r="M25" s="82">
        <v>5895.46405438084</v>
      </c>
      <c r="N25" s="82">
        <v>6082.48941332293</v>
      </c>
      <c r="O25" s="82">
        <v>5745.2582455176498</v>
      </c>
      <c r="P25" s="82">
        <v>5408.9514282627097</v>
      </c>
      <c r="Q25" s="82">
        <v>5390.9025371939397</v>
      </c>
      <c r="R25" s="82">
        <v>5501.1296052971902</v>
      </c>
      <c r="S25" s="82">
        <v>5590.1474608830104</v>
      </c>
      <c r="T25" s="82">
        <v>5979.9932747000003</v>
      </c>
      <c r="U25" s="82">
        <v>6224.2201510000004</v>
      </c>
      <c r="V25" s="82">
        <v>6381.0360410800004</v>
      </c>
      <c r="W25" s="82">
        <v>6585.7612742948004</v>
      </c>
      <c r="X25" s="82">
        <v>6444.6470844253399</v>
      </c>
      <c r="Y25" s="82">
        <v>4755.0203854253296</v>
      </c>
      <c r="Z25" s="82">
        <v>4305.9661604253197</v>
      </c>
      <c r="AA25" s="82">
        <v>4513.0648359999996</v>
      </c>
    </row>
    <row r="26" spans="1:27">
      <c r="A26" t="s">
        <v>2</v>
      </c>
      <c r="E26" s="61"/>
      <c r="F26" s="82"/>
      <c r="G26" s="82"/>
      <c r="H26" s="82"/>
      <c r="I26" s="82"/>
      <c r="J26" s="82"/>
      <c r="K26" s="82"/>
      <c r="L26" s="82"/>
      <c r="M26" s="82"/>
      <c r="N26" s="82"/>
      <c r="O26" s="82"/>
      <c r="P26" s="82"/>
      <c r="Q26" s="82"/>
      <c r="R26" s="82"/>
      <c r="S26" s="82"/>
      <c r="T26" s="82"/>
      <c r="U26" s="82"/>
      <c r="V26" s="82"/>
      <c r="W26" s="82"/>
      <c r="X26" s="82"/>
      <c r="Y26" s="82"/>
      <c r="Z26" s="82"/>
      <c r="AA26" s="82"/>
    </row>
    <row r="27" spans="1:27">
      <c r="B27" s="23" t="s">
        <v>63</v>
      </c>
      <c r="E27" s="61"/>
      <c r="F27" s="82"/>
      <c r="G27" s="82"/>
      <c r="H27" s="82"/>
      <c r="I27" s="82"/>
      <c r="J27" s="82"/>
      <c r="K27" s="82"/>
      <c r="L27" s="82"/>
      <c r="M27" s="82"/>
      <c r="N27" s="82"/>
      <c r="O27" s="82"/>
      <c r="P27" s="82"/>
      <c r="Q27" s="82"/>
      <c r="R27" s="82"/>
      <c r="S27" s="82"/>
      <c r="T27" s="82"/>
      <c r="U27" s="82"/>
      <c r="V27" s="82"/>
      <c r="W27" s="82"/>
      <c r="X27" s="82"/>
      <c r="Y27" s="82"/>
      <c r="Z27" s="82"/>
      <c r="AA27" s="82"/>
    </row>
    <row r="28" spans="1:27">
      <c r="C28" s="23" t="s">
        <v>82</v>
      </c>
      <c r="E28" s="61"/>
      <c r="F28" s="82"/>
      <c r="G28" s="82"/>
      <c r="H28" s="82"/>
      <c r="I28" s="82"/>
      <c r="J28" s="82"/>
      <c r="K28" s="82"/>
      <c r="L28" s="82"/>
      <c r="M28" s="82"/>
      <c r="N28" s="82"/>
      <c r="O28" s="82"/>
      <c r="P28" s="82"/>
      <c r="Q28" s="82"/>
      <c r="R28" s="82"/>
      <c r="S28" s="82"/>
      <c r="T28" s="82"/>
      <c r="U28" s="82"/>
      <c r="V28" s="82"/>
      <c r="W28" s="82"/>
      <c r="X28" s="82"/>
    </row>
    <row r="29" spans="1:27">
      <c r="D29" s="11" t="s">
        <v>274</v>
      </c>
      <c r="E29" s="58" t="s">
        <v>269</v>
      </c>
      <c r="F29" s="82">
        <v>851.67925000000002</v>
      </c>
      <c r="G29" s="82">
        <v>718.55742999999995</v>
      </c>
      <c r="H29" s="82">
        <v>733.10536999999999</v>
      </c>
      <c r="I29" s="82">
        <v>638.50237000000004</v>
      </c>
      <c r="J29" s="82">
        <v>545.42004848743397</v>
      </c>
      <c r="K29" s="82">
        <v>588.41564006899102</v>
      </c>
      <c r="L29" s="82">
        <v>566.20044423577997</v>
      </c>
      <c r="M29" s="82">
        <v>591.20259110638301</v>
      </c>
      <c r="N29" s="82">
        <v>564.19270400000005</v>
      </c>
      <c r="O29" s="82">
        <v>491.45166160000002</v>
      </c>
      <c r="P29" s="82">
        <v>517.66330170000003</v>
      </c>
      <c r="Q29" s="82">
        <v>514.61400000000003</v>
      </c>
      <c r="R29" s="82">
        <v>519.455814241486</v>
      </c>
      <c r="S29" s="82">
        <v>598.33852053599696</v>
      </c>
      <c r="T29" s="82">
        <v>569.79287499999998</v>
      </c>
      <c r="U29" s="82">
        <v>470.12583727272698</v>
      </c>
      <c r="V29" s="82">
        <v>446.541605</v>
      </c>
      <c r="W29" s="82">
        <v>377.27687461063903</v>
      </c>
      <c r="X29" s="82">
        <v>413.10157616316098</v>
      </c>
      <c r="Y29" s="82">
        <v>350.872576163161</v>
      </c>
      <c r="Z29" s="82">
        <v>99.083576163161197</v>
      </c>
      <c r="AA29" s="82">
        <v>26.033999999999999</v>
      </c>
    </row>
    <row r="30" spans="1:27">
      <c r="D30" s="24" t="s">
        <v>84</v>
      </c>
      <c r="E30" s="58" t="s">
        <v>269</v>
      </c>
      <c r="F30" s="82">
        <v>1213.576</v>
      </c>
      <c r="G30" s="82">
        <v>1300.6967999999999</v>
      </c>
      <c r="H30" s="82">
        <v>1342.8774000000001</v>
      </c>
      <c r="I30" s="82">
        <v>1366.0250000000001</v>
      </c>
      <c r="J30" s="82">
        <v>1262.1019100000001</v>
      </c>
      <c r="K30" s="82">
        <v>1406.702</v>
      </c>
      <c r="L30" s="82">
        <v>1212.7504200000001</v>
      </c>
      <c r="M30" s="82">
        <v>1261.3147300000001</v>
      </c>
      <c r="N30" s="82">
        <v>1277.24314</v>
      </c>
      <c r="O30" s="82">
        <v>1049.1749748</v>
      </c>
      <c r="P30" s="82">
        <v>804.91661829999998</v>
      </c>
      <c r="Q30" s="82">
        <v>783.45104000000003</v>
      </c>
      <c r="R30" s="82">
        <v>774.57285000000002</v>
      </c>
      <c r="S30" s="82">
        <v>695.45114000000001</v>
      </c>
      <c r="T30" s="82">
        <v>733.88693999999998</v>
      </c>
      <c r="U30" s="82">
        <v>739.21256000000005</v>
      </c>
      <c r="V30" s="82">
        <v>629.66875000000005</v>
      </c>
      <c r="W30" s="82">
        <v>559.14319</v>
      </c>
      <c r="X30" s="82">
        <v>501.91800000000001</v>
      </c>
      <c r="Y30" s="82">
        <v>605.42489999999998</v>
      </c>
      <c r="Z30" s="82">
        <v>106.983</v>
      </c>
      <c r="AA30" s="82">
        <v>0</v>
      </c>
    </row>
    <row r="31" spans="1:27">
      <c r="D31" s="24" t="s">
        <v>76</v>
      </c>
      <c r="E31" s="58" t="s">
        <v>269</v>
      </c>
      <c r="F31" s="82">
        <v>16.8</v>
      </c>
      <c r="G31" s="82">
        <v>7.7770000000000001</v>
      </c>
      <c r="H31" s="82">
        <v>5.3529999999999998</v>
      </c>
      <c r="I31" s="82">
        <v>5.3529999999999998</v>
      </c>
      <c r="J31" s="82">
        <v>3.6144578313253</v>
      </c>
      <c r="K31" s="82">
        <v>0.61445783132530096</v>
      </c>
      <c r="L31" s="82">
        <v>0</v>
      </c>
      <c r="M31" s="82">
        <v>7.3410000000000002</v>
      </c>
      <c r="N31" s="82">
        <v>2.1</v>
      </c>
      <c r="O31" s="82">
        <v>8.8000000000000007</v>
      </c>
      <c r="P31" s="82">
        <v>9.4781499999999994</v>
      </c>
      <c r="Q31" s="82">
        <v>9.6</v>
      </c>
      <c r="R31" s="82">
        <v>9.6</v>
      </c>
      <c r="S31" s="82">
        <v>4.6589999999999998</v>
      </c>
      <c r="T31" s="82">
        <v>1.9248000000000001</v>
      </c>
      <c r="U31" s="82">
        <v>1.405</v>
      </c>
      <c r="V31" s="82">
        <v>1.306</v>
      </c>
      <c r="W31" s="82">
        <v>1.3260000000000001</v>
      </c>
      <c r="X31" s="82">
        <v>0.88500000000000001</v>
      </c>
      <c r="Y31" s="82">
        <v>0.71499999999999997</v>
      </c>
      <c r="Z31" s="82">
        <v>0.30299999999999999</v>
      </c>
      <c r="AA31" s="82">
        <v>0</v>
      </c>
    </row>
    <row r="32" spans="1:27">
      <c r="D32" s="24" t="s">
        <v>43</v>
      </c>
      <c r="E32" s="58" t="s">
        <v>269</v>
      </c>
      <c r="F32" s="82">
        <v>2082.0552499999999</v>
      </c>
      <c r="G32" s="82">
        <v>2027.0312300000001</v>
      </c>
      <c r="H32" s="82">
        <v>2081.3357700000001</v>
      </c>
      <c r="I32" s="82">
        <v>2009.8803700000001</v>
      </c>
      <c r="J32" s="82">
        <v>1811.13641631876</v>
      </c>
      <c r="K32" s="82">
        <v>1995.73209790032</v>
      </c>
      <c r="L32" s="82">
        <v>1778.95086423578</v>
      </c>
      <c r="M32" s="82">
        <v>1859.8583211063799</v>
      </c>
      <c r="N32" s="82">
        <v>1843.535844</v>
      </c>
      <c r="O32" s="82">
        <v>1549.4266364</v>
      </c>
      <c r="P32" s="82">
        <v>1332.05807</v>
      </c>
      <c r="Q32" s="82">
        <v>1307.6650400000001</v>
      </c>
      <c r="R32" s="82">
        <v>1303.62866424149</v>
      </c>
      <c r="S32" s="82">
        <v>1298.448660536</v>
      </c>
      <c r="T32" s="82">
        <v>1305.604615</v>
      </c>
      <c r="U32" s="82">
        <v>1210.7433972727299</v>
      </c>
      <c r="V32" s="82">
        <v>1077.516355</v>
      </c>
      <c r="W32" s="82">
        <v>937.746064610639</v>
      </c>
      <c r="X32" s="82">
        <v>915.90457616316098</v>
      </c>
      <c r="Y32" s="82">
        <v>957.01247616316095</v>
      </c>
      <c r="Z32" s="82">
        <v>206.36957616316101</v>
      </c>
      <c r="AA32" s="82">
        <v>26.033999999999999</v>
      </c>
    </row>
    <row r="33" spans="1:27">
      <c r="C33" s="23" t="s">
        <v>83</v>
      </c>
      <c r="E33" s="61"/>
      <c r="F33" s="82"/>
      <c r="G33" s="82"/>
      <c r="H33" s="82"/>
      <c r="I33" s="82"/>
      <c r="J33" s="82"/>
      <c r="K33" s="82"/>
      <c r="L33" s="82"/>
      <c r="M33" s="82"/>
      <c r="N33" s="82"/>
      <c r="O33" s="82"/>
      <c r="P33" s="82"/>
      <c r="Q33" s="82"/>
      <c r="R33" s="82"/>
      <c r="S33" s="82"/>
      <c r="T33" s="82"/>
      <c r="U33" s="82"/>
      <c r="V33" s="82"/>
      <c r="W33" s="82"/>
      <c r="X33" s="82"/>
      <c r="Y33" s="82"/>
      <c r="Z33" s="82"/>
      <c r="AA33" s="82"/>
    </row>
    <row r="34" spans="1:27">
      <c r="D34" s="11" t="s">
        <v>274</v>
      </c>
      <c r="E34" s="58" t="s">
        <v>269</v>
      </c>
      <c r="F34" s="82">
        <v>63</v>
      </c>
      <c r="G34" s="82">
        <v>75</v>
      </c>
      <c r="H34" s="82">
        <v>131.12200000000001</v>
      </c>
      <c r="I34" s="82">
        <v>119.60599999999999</v>
      </c>
      <c r="J34" s="82">
        <v>61.939999629020697</v>
      </c>
      <c r="K34" s="82">
        <v>42.5</v>
      </c>
      <c r="L34" s="82">
        <v>28</v>
      </c>
      <c r="M34" s="82">
        <v>15</v>
      </c>
      <c r="N34" s="82">
        <v>8.1999999999999993</v>
      </c>
      <c r="O34" s="82">
        <v>2.2000000000000002</v>
      </c>
      <c r="P34" s="82">
        <v>36.762</v>
      </c>
      <c r="Q34" s="82">
        <v>104.30869199999999</v>
      </c>
      <c r="R34" s="82">
        <v>59.428541666666597</v>
      </c>
      <c r="S34" s="82">
        <v>32.375352941176502</v>
      </c>
      <c r="T34" s="82">
        <v>56.2757133333334</v>
      </c>
      <c r="U34" s="82">
        <v>32.981569999999998</v>
      </c>
      <c r="V34" s="82">
        <v>3.61</v>
      </c>
      <c r="W34" s="82">
        <v>25.785452986894899</v>
      </c>
      <c r="X34" s="82">
        <v>27.188490000000002</v>
      </c>
      <c r="Y34" s="82">
        <v>17.136420000000001</v>
      </c>
      <c r="Z34" s="82">
        <v>18.371749999999899</v>
      </c>
      <c r="AA34" s="82">
        <v>38.846649999999897</v>
      </c>
    </row>
    <row r="35" spans="1:27">
      <c r="D35" s="24" t="s">
        <v>84</v>
      </c>
      <c r="E35" s="58" t="s">
        <v>269</v>
      </c>
      <c r="F35" s="82">
        <v>205.52500000000001</v>
      </c>
      <c r="G35" s="82">
        <v>175</v>
      </c>
      <c r="H35" s="82">
        <v>191.41499999999999</v>
      </c>
      <c r="I35" s="82">
        <v>226.11500000000001</v>
      </c>
      <c r="J35" s="82">
        <v>280.76599937438903</v>
      </c>
      <c r="K35" s="82">
        <v>414.33300000000003</v>
      </c>
      <c r="L35" s="82">
        <v>572.9085</v>
      </c>
      <c r="M35" s="82">
        <v>625.64574000000005</v>
      </c>
      <c r="N35" s="82">
        <v>759.61306000000002</v>
      </c>
      <c r="O35" s="82">
        <v>1687.2397900000001</v>
      </c>
      <c r="P35" s="82">
        <v>1752.51939986715</v>
      </c>
      <c r="Q35" s="82">
        <v>2095.1970128835401</v>
      </c>
      <c r="R35" s="82">
        <v>2774.8269922213799</v>
      </c>
      <c r="S35" s="82">
        <v>2794.8223499999999</v>
      </c>
      <c r="T35" s="82">
        <v>3940.1740116666701</v>
      </c>
      <c r="U35" s="82">
        <v>3544.2300028999998</v>
      </c>
      <c r="V35" s="82">
        <v>3888.8907100000001</v>
      </c>
      <c r="W35" s="82">
        <v>2312.9229700000001</v>
      </c>
      <c r="X35" s="82">
        <v>1957.83439974213</v>
      </c>
      <c r="Y35" s="82">
        <v>2302.18658</v>
      </c>
      <c r="Z35" s="82">
        <v>2912.6348106058699</v>
      </c>
      <c r="AA35" s="82">
        <v>2333.2175523435899</v>
      </c>
    </row>
    <row r="36" spans="1:27">
      <c r="D36" s="24" t="s">
        <v>76</v>
      </c>
      <c r="E36" s="58" t="s">
        <v>269</v>
      </c>
      <c r="F36" s="82">
        <v>0</v>
      </c>
      <c r="G36" s="82">
        <v>0</v>
      </c>
      <c r="H36" s="82">
        <v>0</v>
      </c>
      <c r="I36" s="82">
        <v>0</v>
      </c>
      <c r="J36" s="82">
        <v>0</v>
      </c>
      <c r="K36" s="82">
        <v>0</v>
      </c>
      <c r="L36" s="82">
        <v>0</v>
      </c>
      <c r="M36" s="82">
        <v>0</v>
      </c>
      <c r="N36" s="82">
        <v>0</v>
      </c>
      <c r="O36" s="82">
        <v>0</v>
      </c>
      <c r="P36" s="82">
        <v>0</v>
      </c>
      <c r="Q36" s="82">
        <v>0</v>
      </c>
      <c r="R36" s="82">
        <v>0</v>
      </c>
      <c r="S36" s="82">
        <v>0</v>
      </c>
      <c r="T36" s="82">
        <v>0</v>
      </c>
      <c r="U36" s="82">
        <v>0</v>
      </c>
      <c r="V36" s="82">
        <v>0</v>
      </c>
      <c r="W36" s="82">
        <v>0</v>
      </c>
      <c r="X36" s="82">
        <v>0.52542999999999995</v>
      </c>
      <c r="Y36" s="82">
        <v>0</v>
      </c>
      <c r="Z36" s="82">
        <v>23.953868490732599</v>
      </c>
      <c r="AA36" s="82">
        <v>37.45711</v>
      </c>
    </row>
    <row r="37" spans="1:27">
      <c r="D37" s="24" t="s">
        <v>43</v>
      </c>
      <c r="E37" s="58" t="s">
        <v>269</v>
      </c>
      <c r="F37" s="82">
        <v>268.52499999999998</v>
      </c>
      <c r="G37" s="82">
        <v>250</v>
      </c>
      <c r="H37" s="82">
        <v>322.53699999999998</v>
      </c>
      <c r="I37" s="82">
        <v>345.721</v>
      </c>
      <c r="J37" s="82">
        <v>342.70599900341</v>
      </c>
      <c r="K37" s="82">
        <v>456.83300000000003</v>
      </c>
      <c r="L37" s="82">
        <v>600.9085</v>
      </c>
      <c r="M37" s="82">
        <v>640.64574000000005</v>
      </c>
      <c r="N37" s="82">
        <v>767.81305999999995</v>
      </c>
      <c r="O37" s="82">
        <v>1689.4397899999999</v>
      </c>
      <c r="P37" s="82">
        <v>1789.28139986715</v>
      </c>
      <c r="Q37" s="82">
        <v>2199.5057048835401</v>
      </c>
      <c r="R37" s="82">
        <v>2834.2555338880402</v>
      </c>
      <c r="S37" s="82">
        <v>2827.1977029411801</v>
      </c>
      <c r="T37" s="82">
        <v>3996.4497249999999</v>
      </c>
      <c r="U37" s="82">
        <v>3577.2115729000002</v>
      </c>
      <c r="V37" s="82">
        <v>3892.5007099999998</v>
      </c>
      <c r="W37" s="82">
        <v>2338.7084229868901</v>
      </c>
      <c r="X37" s="82">
        <v>1985.5483197421299</v>
      </c>
      <c r="Y37" s="82">
        <v>2319.3229999999999</v>
      </c>
      <c r="Z37" s="82">
        <v>2954.9604290965999</v>
      </c>
      <c r="AA37" s="82">
        <v>2409.5213123435901</v>
      </c>
    </row>
    <row r="38" spans="1:27">
      <c r="C38" s="23" t="s">
        <v>42</v>
      </c>
      <c r="E38" s="61"/>
      <c r="F38" s="82"/>
      <c r="G38" s="82"/>
      <c r="H38" s="82"/>
      <c r="I38" s="82"/>
      <c r="J38" s="82"/>
      <c r="K38" s="82"/>
      <c r="L38" s="82"/>
      <c r="M38" s="82"/>
      <c r="N38" s="82"/>
      <c r="O38" s="82"/>
      <c r="P38" s="82"/>
      <c r="Q38" s="82"/>
      <c r="R38" s="82"/>
      <c r="S38" s="82"/>
      <c r="T38" s="82"/>
      <c r="U38" s="82"/>
      <c r="V38" s="82"/>
      <c r="W38" s="82"/>
      <c r="X38" s="82"/>
      <c r="Y38" s="82"/>
      <c r="Z38" s="82"/>
      <c r="AA38" s="82"/>
    </row>
    <row r="39" spans="1:27">
      <c r="D39" s="11" t="s">
        <v>274</v>
      </c>
      <c r="E39" s="58" t="s">
        <v>269</v>
      </c>
      <c r="F39" s="82">
        <v>2201.75</v>
      </c>
      <c r="G39" s="82">
        <v>2360.4196000000002</v>
      </c>
      <c r="H39" s="82">
        <v>2579.0974000000001</v>
      </c>
      <c r="I39" s="82">
        <v>2539.991</v>
      </c>
      <c r="J39" s="82">
        <v>2512.78386356807</v>
      </c>
      <c r="K39" s="82">
        <v>2298.4085981051999</v>
      </c>
      <c r="L39" s="82">
        <v>2471.13726691088</v>
      </c>
      <c r="M39" s="82">
        <v>2321.91224259099</v>
      </c>
      <c r="N39" s="82">
        <v>2243.7889001849198</v>
      </c>
      <c r="O39" s="82">
        <v>1953.39768915993</v>
      </c>
      <c r="P39" s="82">
        <v>2242.62116499802</v>
      </c>
      <c r="Q39" s="82">
        <v>2496.83545</v>
      </c>
      <c r="R39" s="82">
        <v>2446.17857609877</v>
      </c>
      <c r="S39" s="82">
        <v>2331.1370378011502</v>
      </c>
      <c r="T39" s="82">
        <v>2348.72569991296</v>
      </c>
      <c r="U39" s="82">
        <v>2168.3394532892498</v>
      </c>
      <c r="V39" s="82">
        <v>1891.1511699983801</v>
      </c>
      <c r="W39" s="82">
        <v>2059.5322807534999</v>
      </c>
      <c r="X39" s="82">
        <v>1872.4958991722599</v>
      </c>
      <c r="Y39" s="82">
        <v>1852.1974742165801</v>
      </c>
      <c r="Z39" s="82">
        <v>1713.74840106136</v>
      </c>
      <c r="AA39" s="82">
        <v>1727.32022551416</v>
      </c>
    </row>
    <row r="40" spans="1:27">
      <c r="D40" s="24" t="s">
        <v>84</v>
      </c>
      <c r="E40" s="58" t="s">
        <v>269</v>
      </c>
      <c r="F40" s="82">
        <v>1256.67</v>
      </c>
      <c r="G40" s="82">
        <v>1361.2883999999999</v>
      </c>
      <c r="H40" s="82">
        <v>1459.0442</v>
      </c>
      <c r="I40" s="82">
        <v>1502.664</v>
      </c>
      <c r="J40" s="82">
        <v>1451.3137946762999</v>
      </c>
      <c r="K40" s="82">
        <v>1535.71012</v>
      </c>
      <c r="L40" s="82">
        <v>1312.5450780000001</v>
      </c>
      <c r="M40" s="82">
        <v>1172.14597</v>
      </c>
      <c r="N40" s="82">
        <v>1433.21496</v>
      </c>
      <c r="O40" s="82">
        <v>1360.6150700000001</v>
      </c>
      <c r="P40" s="82">
        <v>1244.1473100000001</v>
      </c>
      <c r="Q40" s="82">
        <v>1223.25622</v>
      </c>
      <c r="R40" s="82">
        <v>1414.62208208378</v>
      </c>
      <c r="S40" s="82">
        <v>1629.18404623942</v>
      </c>
      <c r="T40" s="82">
        <v>1853.62216790053</v>
      </c>
      <c r="U40" s="82">
        <v>2014.54859253479</v>
      </c>
      <c r="V40" s="82">
        <v>1913.4955497902399</v>
      </c>
      <c r="W40" s="82">
        <v>1684.26414718816</v>
      </c>
      <c r="X40" s="82">
        <v>1713.0133041885999</v>
      </c>
      <c r="Y40" s="82">
        <v>1582.68578863224</v>
      </c>
      <c r="Z40" s="82">
        <v>1858.53853736366</v>
      </c>
      <c r="AA40" s="82">
        <v>1840.9679120390799</v>
      </c>
    </row>
    <row r="41" spans="1:27">
      <c r="D41" s="24" t="s">
        <v>76</v>
      </c>
      <c r="E41" s="58" t="s">
        <v>269</v>
      </c>
      <c r="F41" s="82">
        <v>9.5559999999999992</v>
      </c>
      <c r="G41" s="82">
        <v>47.408000000000001</v>
      </c>
      <c r="H41" s="82">
        <v>75.533000000000001</v>
      </c>
      <c r="I41" s="82">
        <v>86.147999999999996</v>
      </c>
      <c r="J41" s="82">
        <v>114.82656408453001</v>
      </c>
      <c r="K41" s="82">
        <v>77.246449999999996</v>
      </c>
      <c r="L41" s="82">
        <v>106.5972</v>
      </c>
      <c r="M41" s="82">
        <v>75.506969999999995</v>
      </c>
      <c r="N41" s="82">
        <v>74.923119999999997</v>
      </c>
      <c r="O41" s="82">
        <v>67.198340000000002</v>
      </c>
      <c r="P41" s="82">
        <v>72.861935838647099</v>
      </c>
      <c r="Q41" s="82">
        <v>85.823999999999998</v>
      </c>
      <c r="R41" s="82">
        <v>67.288771290644206</v>
      </c>
      <c r="S41" s="82">
        <v>79.247038000000003</v>
      </c>
      <c r="T41" s="82">
        <v>72.057205999999994</v>
      </c>
      <c r="U41" s="82">
        <v>79.028070200000002</v>
      </c>
      <c r="V41" s="82">
        <v>83.836781799999997</v>
      </c>
      <c r="W41" s="82">
        <v>126.3020638</v>
      </c>
      <c r="X41" s="82">
        <v>107.33973349999999</v>
      </c>
      <c r="Y41" s="82">
        <v>105.68607729999999</v>
      </c>
      <c r="Z41" s="82">
        <v>91.503062190732606</v>
      </c>
      <c r="AA41" s="82">
        <v>140.730240839</v>
      </c>
    </row>
    <row r="42" spans="1:27">
      <c r="D42" s="24" t="s">
        <v>43</v>
      </c>
      <c r="E42" s="58" t="s">
        <v>269</v>
      </c>
      <c r="F42" s="82">
        <v>3467.9760000000001</v>
      </c>
      <c r="G42" s="82">
        <v>3769.116</v>
      </c>
      <c r="H42" s="82">
        <v>4113.6746000000003</v>
      </c>
      <c r="I42" s="82">
        <v>4128.8029999999999</v>
      </c>
      <c r="J42" s="82">
        <v>4078.9242223289002</v>
      </c>
      <c r="K42" s="82">
        <v>3911.3651681052002</v>
      </c>
      <c r="L42" s="82">
        <v>3890.2795449108798</v>
      </c>
      <c r="M42" s="82">
        <v>3569.5651825909899</v>
      </c>
      <c r="N42" s="82">
        <v>3751.92698018492</v>
      </c>
      <c r="O42" s="82">
        <v>3381.2110991599302</v>
      </c>
      <c r="P42" s="82">
        <v>3559.6304108366699</v>
      </c>
      <c r="Q42" s="82">
        <v>3805.9156699999999</v>
      </c>
      <c r="R42" s="82">
        <v>3928.0894294731902</v>
      </c>
      <c r="S42" s="82">
        <v>4039.56812204057</v>
      </c>
      <c r="T42" s="82">
        <v>4274.4050738134902</v>
      </c>
      <c r="U42" s="82">
        <v>4261.9161160240401</v>
      </c>
      <c r="V42" s="82">
        <v>3888.4835015886201</v>
      </c>
      <c r="W42" s="82">
        <v>3870.0984917416599</v>
      </c>
      <c r="X42" s="82">
        <v>3692.8489368608598</v>
      </c>
      <c r="Y42" s="82">
        <v>3540.5693401488202</v>
      </c>
      <c r="Z42" s="82">
        <v>3663.7900006157502</v>
      </c>
      <c r="AA42" s="82">
        <v>3709.0183783922398</v>
      </c>
    </row>
    <row r="43" spans="1:27">
      <c r="C43" s="23" t="s">
        <v>43</v>
      </c>
      <c r="E43" s="61"/>
      <c r="F43" s="82"/>
      <c r="G43" s="82"/>
      <c r="H43" s="82"/>
      <c r="I43" s="82"/>
      <c r="J43" s="82"/>
      <c r="K43" s="82"/>
      <c r="L43" s="82"/>
      <c r="M43" s="82"/>
      <c r="N43" s="82"/>
      <c r="O43" s="82"/>
      <c r="P43" s="82"/>
      <c r="Q43" s="82"/>
      <c r="R43" s="82"/>
      <c r="S43" s="82"/>
      <c r="T43" s="82"/>
      <c r="U43" s="82"/>
      <c r="V43" s="82"/>
      <c r="W43" s="82"/>
      <c r="X43" s="82"/>
      <c r="Y43" s="82"/>
      <c r="Z43" s="82"/>
      <c r="AA43" s="82"/>
    </row>
    <row r="44" spans="1:27">
      <c r="D44" s="11" t="s">
        <v>274</v>
      </c>
      <c r="E44" s="58" t="s">
        <v>269</v>
      </c>
      <c r="F44" s="82">
        <v>3116.4292500000001</v>
      </c>
      <c r="G44" s="82">
        <v>3153.97703</v>
      </c>
      <c r="H44" s="82">
        <v>3443.3247700000002</v>
      </c>
      <c r="I44" s="82">
        <v>3298.0993699999999</v>
      </c>
      <c r="J44" s="82">
        <v>3120.1439116845199</v>
      </c>
      <c r="K44" s="82">
        <v>2929.3242381741902</v>
      </c>
      <c r="L44" s="82">
        <v>3065.3377111466598</v>
      </c>
      <c r="M44" s="82">
        <v>2928.1148336973802</v>
      </c>
      <c r="N44" s="82">
        <v>2816.1816041849202</v>
      </c>
      <c r="O44" s="82">
        <v>2447.0493507599299</v>
      </c>
      <c r="P44" s="82">
        <v>2797.0464666980201</v>
      </c>
      <c r="Q44" s="82">
        <v>3115.7581420000001</v>
      </c>
      <c r="R44" s="82">
        <v>3025.0629320069202</v>
      </c>
      <c r="S44" s="82">
        <v>2961.8509112783199</v>
      </c>
      <c r="T44" s="82">
        <v>2974.7942882462899</v>
      </c>
      <c r="U44" s="82">
        <v>2671.44686056198</v>
      </c>
      <c r="V44" s="82">
        <v>2341.3027749983798</v>
      </c>
      <c r="W44" s="82">
        <v>2462.5946083510298</v>
      </c>
      <c r="X44" s="82">
        <v>2312.7859653354199</v>
      </c>
      <c r="Y44" s="82">
        <v>2220.20647037974</v>
      </c>
      <c r="Z44" s="82">
        <v>1831.20372722452</v>
      </c>
      <c r="AA44" s="82">
        <v>1792.2008755141601</v>
      </c>
    </row>
    <row r="45" spans="1:27">
      <c r="D45" s="24" t="s">
        <v>84</v>
      </c>
      <c r="E45" s="58" t="s">
        <v>269</v>
      </c>
      <c r="F45" s="82">
        <v>2675.7710000000002</v>
      </c>
      <c r="G45" s="82">
        <v>2836.9852000000001</v>
      </c>
      <c r="H45" s="82">
        <v>2993.3366000000001</v>
      </c>
      <c r="I45" s="82">
        <v>3094.8040000000001</v>
      </c>
      <c r="J45" s="82">
        <v>2994.1817040506899</v>
      </c>
      <c r="K45" s="82">
        <v>3356.74512</v>
      </c>
      <c r="L45" s="82">
        <v>3098.203998</v>
      </c>
      <c r="M45" s="82">
        <v>3059.10644</v>
      </c>
      <c r="N45" s="82">
        <v>3470.07116</v>
      </c>
      <c r="O45" s="82">
        <v>4097.0298347999997</v>
      </c>
      <c r="P45" s="82">
        <v>3801.5833281671498</v>
      </c>
      <c r="Q45" s="82">
        <v>4101.9042728835402</v>
      </c>
      <c r="R45" s="82">
        <v>4964.0219243051497</v>
      </c>
      <c r="S45" s="82">
        <v>5119.4575362394198</v>
      </c>
      <c r="T45" s="82">
        <v>6527.6831195672003</v>
      </c>
      <c r="U45" s="82">
        <v>6297.99115543479</v>
      </c>
      <c r="V45" s="82">
        <v>6432.0550097902396</v>
      </c>
      <c r="W45" s="82">
        <v>4556.3303071881601</v>
      </c>
      <c r="X45" s="82">
        <v>4172.7657039307196</v>
      </c>
      <c r="Y45" s="82">
        <v>4490.29726863224</v>
      </c>
      <c r="Z45" s="82">
        <v>4878.1563479695296</v>
      </c>
      <c r="AA45" s="82">
        <v>4174.18546438267</v>
      </c>
    </row>
    <row r="46" spans="1:27">
      <c r="D46" s="24" t="s">
        <v>76</v>
      </c>
      <c r="E46" s="58" t="s">
        <v>269</v>
      </c>
      <c r="F46" s="82">
        <v>26.356000000000002</v>
      </c>
      <c r="G46" s="82">
        <v>55.185000000000002</v>
      </c>
      <c r="H46" s="82">
        <v>80.885999999999996</v>
      </c>
      <c r="I46" s="82">
        <v>91.501000000000005</v>
      </c>
      <c r="J46" s="82">
        <v>118.441021915855</v>
      </c>
      <c r="K46" s="82">
        <v>77.860907831325306</v>
      </c>
      <c r="L46" s="82">
        <v>106.5972</v>
      </c>
      <c r="M46" s="82">
        <v>82.847970000000004</v>
      </c>
      <c r="N46" s="82">
        <v>77.023120000000006</v>
      </c>
      <c r="O46" s="82">
        <v>75.998339999999999</v>
      </c>
      <c r="P46" s="82">
        <v>82.340085838647099</v>
      </c>
      <c r="Q46" s="82">
        <v>95.424000000000007</v>
      </c>
      <c r="R46" s="82">
        <v>76.8887712906442</v>
      </c>
      <c r="S46" s="82">
        <v>83.906037999999995</v>
      </c>
      <c r="T46" s="82">
        <v>73.982005999999998</v>
      </c>
      <c r="U46" s="82">
        <v>80.433070200000003</v>
      </c>
      <c r="V46" s="82">
        <v>85.142781799999995</v>
      </c>
      <c r="W46" s="82">
        <v>127.62806380000001</v>
      </c>
      <c r="X46" s="82">
        <v>108.7501635</v>
      </c>
      <c r="Y46" s="82">
        <v>106.4010773</v>
      </c>
      <c r="Z46" s="82">
        <v>115.75993068146499</v>
      </c>
      <c r="AA46" s="82">
        <v>178.187350839</v>
      </c>
    </row>
    <row r="47" spans="1:27">
      <c r="D47" s="24" t="s">
        <v>43</v>
      </c>
      <c r="E47" s="58" t="s">
        <v>269</v>
      </c>
      <c r="F47" s="82">
        <v>5818.5562499999996</v>
      </c>
      <c r="G47" s="82">
        <v>6046.1472299999996</v>
      </c>
      <c r="H47" s="82">
        <v>6517.5473700000002</v>
      </c>
      <c r="I47" s="82">
        <v>6484.4043700000002</v>
      </c>
      <c r="J47" s="82">
        <v>6232.7666376510697</v>
      </c>
      <c r="K47" s="82">
        <v>6363.93026600552</v>
      </c>
      <c r="L47" s="82">
        <v>6270.1389091466599</v>
      </c>
      <c r="M47" s="82">
        <v>6070.0692436973804</v>
      </c>
      <c r="N47" s="82">
        <v>6363.27588418492</v>
      </c>
      <c r="O47" s="82">
        <v>6620.0775255599301</v>
      </c>
      <c r="P47" s="82">
        <v>6680.9698807038203</v>
      </c>
      <c r="Q47" s="82">
        <v>7313.0864148835399</v>
      </c>
      <c r="R47" s="82">
        <v>8065.9736276027097</v>
      </c>
      <c r="S47" s="82">
        <v>8165.2144855177403</v>
      </c>
      <c r="T47" s="82">
        <v>9576.4594138134908</v>
      </c>
      <c r="U47" s="82">
        <v>9049.8710861967702</v>
      </c>
      <c r="V47" s="82">
        <v>8858.5005665886201</v>
      </c>
      <c r="W47" s="82">
        <v>7146.5529793391897</v>
      </c>
      <c r="X47" s="82">
        <v>6594.3018327661503</v>
      </c>
      <c r="Y47" s="82">
        <v>6816.9048163119796</v>
      </c>
      <c r="Z47" s="82">
        <v>6825.1200058755103</v>
      </c>
      <c r="AA47" s="82">
        <v>6144.5736907358296</v>
      </c>
    </row>
    <row r="48" spans="1:27">
      <c r="A48" t="s">
        <v>2</v>
      </c>
      <c r="E48" s="61"/>
      <c r="F48" s="82"/>
      <c r="G48" s="82"/>
      <c r="H48" s="82"/>
      <c r="I48" s="82"/>
      <c r="J48" s="82"/>
      <c r="K48" s="82"/>
      <c r="L48" s="82"/>
      <c r="M48" s="82"/>
      <c r="N48" s="82"/>
      <c r="O48" s="82"/>
      <c r="P48" s="82"/>
      <c r="Q48" s="82"/>
      <c r="R48" s="82"/>
      <c r="S48" s="82"/>
      <c r="T48" s="82"/>
      <c r="U48" s="82"/>
      <c r="V48" s="82"/>
      <c r="W48" s="82"/>
      <c r="X48" s="82"/>
      <c r="Y48" s="82"/>
      <c r="Z48" s="82"/>
      <c r="AA48" s="82"/>
    </row>
    <row r="49" spans="2:27">
      <c r="B49" s="23" t="s">
        <v>64</v>
      </c>
      <c r="E49" s="61"/>
      <c r="F49" s="82"/>
      <c r="G49" s="82"/>
      <c r="H49" s="82"/>
      <c r="I49" s="82"/>
      <c r="J49" s="82"/>
      <c r="K49" s="82"/>
      <c r="L49" s="82"/>
      <c r="M49" s="82"/>
      <c r="N49" s="82"/>
      <c r="O49" s="82"/>
      <c r="P49" s="82"/>
      <c r="Q49" s="82"/>
      <c r="R49" s="82"/>
      <c r="S49" s="82"/>
      <c r="T49" s="82"/>
      <c r="U49" s="82"/>
      <c r="V49" s="82"/>
      <c r="W49" s="82"/>
      <c r="X49" s="82"/>
      <c r="Y49" s="82"/>
      <c r="Z49" s="82"/>
      <c r="AA49" s="82"/>
    </row>
    <row r="50" spans="2:27">
      <c r="C50" s="22" t="s">
        <v>389</v>
      </c>
      <c r="E50" s="61"/>
      <c r="F50" s="82"/>
      <c r="G50" s="82"/>
      <c r="H50" s="82"/>
      <c r="I50" s="82"/>
      <c r="J50" s="82"/>
      <c r="K50" s="82"/>
      <c r="L50" s="82"/>
      <c r="M50" s="82"/>
      <c r="N50" s="82"/>
      <c r="O50" s="82"/>
      <c r="P50" s="82"/>
      <c r="Q50" s="82"/>
      <c r="R50" s="82"/>
      <c r="S50" s="82"/>
      <c r="T50" s="82"/>
      <c r="U50" s="82"/>
      <c r="V50" s="82"/>
      <c r="W50" s="82"/>
      <c r="X50" s="82"/>
    </row>
    <row r="51" spans="2:27">
      <c r="D51" s="11" t="s">
        <v>274</v>
      </c>
      <c r="E51" s="58" t="s">
        <v>269</v>
      </c>
      <c r="F51" s="82">
        <v>425.90962500000001</v>
      </c>
      <c r="G51" s="82">
        <v>376.25940000000003</v>
      </c>
      <c r="H51" s="82">
        <v>326.59372267422998</v>
      </c>
      <c r="I51" s="82">
        <v>332.608260733625</v>
      </c>
      <c r="J51" s="82">
        <v>362.11669394817</v>
      </c>
      <c r="K51" s="82">
        <v>364.39686045269298</v>
      </c>
      <c r="L51" s="82">
        <v>295.41618750857998</v>
      </c>
      <c r="M51" s="82">
        <v>235.94400001806201</v>
      </c>
      <c r="N51" s="82">
        <v>251.80351960300001</v>
      </c>
      <c r="O51" s="82">
        <v>247.353519603</v>
      </c>
      <c r="P51" s="82">
        <v>213.81399999999999</v>
      </c>
      <c r="Q51" s="82">
        <v>213.890139294866</v>
      </c>
      <c r="R51" s="82">
        <v>205.126938369854</v>
      </c>
      <c r="S51" s="82">
        <v>238.310444998647</v>
      </c>
      <c r="T51" s="82">
        <v>250.62015</v>
      </c>
      <c r="U51" s="82">
        <v>248.554710202683</v>
      </c>
      <c r="V51" s="82">
        <v>268.49556701889799</v>
      </c>
      <c r="W51" s="82">
        <v>253.975610960138</v>
      </c>
      <c r="X51" s="82">
        <v>266.54158084403701</v>
      </c>
      <c r="Y51" s="82">
        <v>265.56635484403699</v>
      </c>
      <c r="Z51" s="82">
        <v>253.19091284403601</v>
      </c>
      <c r="AA51" s="82">
        <v>253.771912844036</v>
      </c>
    </row>
    <row r="52" spans="2:27">
      <c r="D52" s="24" t="s">
        <v>84</v>
      </c>
      <c r="E52" s="58" t="s">
        <v>269</v>
      </c>
      <c r="F52" s="82">
        <v>0</v>
      </c>
      <c r="G52" s="82">
        <v>0</v>
      </c>
      <c r="H52" s="82">
        <v>0</v>
      </c>
      <c r="I52" s="82">
        <v>0</v>
      </c>
      <c r="J52" s="82">
        <v>0</v>
      </c>
      <c r="K52" s="82">
        <v>0</v>
      </c>
      <c r="L52" s="82">
        <v>0</v>
      </c>
      <c r="M52" s="82">
        <v>0</v>
      </c>
      <c r="N52" s="82">
        <v>0</v>
      </c>
      <c r="O52" s="82">
        <v>0</v>
      </c>
      <c r="P52" s="82">
        <v>0</v>
      </c>
      <c r="Q52" s="82">
        <v>0</v>
      </c>
      <c r="R52" s="82">
        <v>0</v>
      </c>
      <c r="S52" s="82">
        <v>0</v>
      </c>
      <c r="T52" s="82">
        <v>0</v>
      </c>
      <c r="U52" s="82">
        <v>0</v>
      </c>
      <c r="V52" s="82">
        <v>0</v>
      </c>
      <c r="W52" s="82">
        <v>0</v>
      </c>
      <c r="X52" s="82">
        <v>0</v>
      </c>
      <c r="Y52" s="82">
        <v>0</v>
      </c>
      <c r="Z52" s="82">
        <v>0</v>
      </c>
      <c r="AA52" s="82">
        <v>0</v>
      </c>
    </row>
    <row r="53" spans="2:27">
      <c r="D53" s="24" t="s">
        <v>76</v>
      </c>
      <c r="E53" s="58" t="s">
        <v>269</v>
      </c>
      <c r="F53" s="82">
        <v>35.1640625</v>
      </c>
      <c r="G53" s="82">
        <v>34.667714949999997</v>
      </c>
      <c r="H53" s="82">
        <v>25.584192250000001</v>
      </c>
      <c r="I53" s="82">
        <v>29.856999999999999</v>
      </c>
      <c r="J53" s="82">
        <v>46.116</v>
      </c>
      <c r="K53" s="82">
        <v>54.387999999999998</v>
      </c>
      <c r="L53" s="82">
        <v>32.274999999999999</v>
      </c>
      <c r="M53" s="82">
        <v>31.425999999999998</v>
      </c>
      <c r="N53" s="82">
        <v>23.268000000000001</v>
      </c>
      <c r="O53" s="82">
        <v>28.832999999999998</v>
      </c>
      <c r="P53" s="82">
        <v>42.134</v>
      </c>
      <c r="Q53" s="82">
        <v>54.246626461538497</v>
      </c>
      <c r="R53" s="82">
        <v>53.851165538461501</v>
      </c>
      <c r="S53" s="82">
        <v>46.47541050025</v>
      </c>
      <c r="T53" s="82">
        <v>41.660162</v>
      </c>
      <c r="U53" s="82">
        <v>30.388999999999999</v>
      </c>
      <c r="V53" s="82">
        <v>23.771000000000001</v>
      </c>
      <c r="W53" s="82">
        <v>26.588999999999999</v>
      </c>
      <c r="X53" s="82">
        <v>21.982265090225599</v>
      </c>
      <c r="Y53" s="82">
        <v>21.487037000000001</v>
      </c>
      <c r="Z53" s="82">
        <v>21.920999999999999</v>
      </c>
      <c r="AA53" s="82">
        <v>21.844999999999999</v>
      </c>
    </row>
    <row r="54" spans="2:27">
      <c r="D54" s="24" t="s">
        <v>43</v>
      </c>
      <c r="E54" s="58" t="s">
        <v>269</v>
      </c>
      <c r="F54" s="82">
        <v>461.07368750000001</v>
      </c>
      <c r="G54" s="82">
        <v>410.92711494999998</v>
      </c>
      <c r="H54" s="82">
        <v>352.17791492422998</v>
      </c>
      <c r="I54" s="82">
        <v>362.46526073362497</v>
      </c>
      <c r="J54" s="82">
        <v>408.23269394816998</v>
      </c>
      <c r="K54" s="82">
        <v>418.78486045269301</v>
      </c>
      <c r="L54" s="82">
        <v>327.69118750858001</v>
      </c>
      <c r="M54" s="82">
        <v>267.370000018062</v>
      </c>
      <c r="N54" s="82">
        <v>275.07151960300001</v>
      </c>
      <c r="O54" s="82">
        <v>276.18651960300002</v>
      </c>
      <c r="P54" s="82">
        <v>255.94800000000001</v>
      </c>
      <c r="Q54" s="82">
        <v>268.136765756405</v>
      </c>
      <c r="R54" s="82">
        <v>258.97810390831597</v>
      </c>
      <c r="S54" s="82">
        <v>284.78585549889698</v>
      </c>
      <c r="T54" s="82">
        <v>292.28031199999998</v>
      </c>
      <c r="U54" s="82">
        <v>278.94371020268301</v>
      </c>
      <c r="V54" s="82">
        <v>292.266567018898</v>
      </c>
      <c r="W54" s="82">
        <v>280.564610960138</v>
      </c>
      <c r="X54" s="82">
        <v>288.523845934262</v>
      </c>
      <c r="Y54" s="82">
        <v>287.05339184403698</v>
      </c>
      <c r="Z54" s="82">
        <v>275.111912844036</v>
      </c>
      <c r="AA54" s="82">
        <v>275.61691284403599</v>
      </c>
    </row>
    <row r="55" spans="2:27">
      <c r="C55" s="23" t="s">
        <v>83</v>
      </c>
      <c r="E55" s="61"/>
      <c r="F55" s="82"/>
      <c r="G55" s="82"/>
      <c r="H55" s="82"/>
      <c r="I55" s="82"/>
      <c r="J55" s="82"/>
      <c r="K55" s="82"/>
      <c r="L55" s="82"/>
      <c r="M55" s="82"/>
      <c r="N55" s="82"/>
      <c r="O55" s="82"/>
      <c r="P55" s="82"/>
      <c r="Q55" s="82"/>
      <c r="R55" s="82"/>
      <c r="S55" s="82"/>
      <c r="T55" s="82"/>
      <c r="U55" s="82"/>
      <c r="V55" s="82"/>
      <c r="W55" s="82"/>
      <c r="X55" s="82"/>
      <c r="Y55" s="82"/>
      <c r="Z55" s="82"/>
      <c r="AA55" s="82"/>
    </row>
    <row r="56" spans="2:27">
      <c r="D56" s="11" t="s">
        <v>274</v>
      </c>
      <c r="E56" s="58" t="s">
        <v>269</v>
      </c>
      <c r="F56" s="82">
        <v>8.2330000000000005</v>
      </c>
      <c r="G56" s="82">
        <v>0.16500000000000001</v>
      </c>
      <c r="H56" s="82">
        <v>0.05</v>
      </c>
      <c r="I56" s="82">
        <v>2</v>
      </c>
      <c r="J56" s="82">
        <v>0</v>
      </c>
      <c r="K56" s="82">
        <v>0</v>
      </c>
      <c r="L56" s="82">
        <v>0.91300000000000003</v>
      </c>
      <c r="M56" s="82">
        <v>0.47799999999999998</v>
      </c>
      <c r="N56" s="82">
        <v>0.53300000000000003</v>
      </c>
      <c r="O56" s="82">
        <v>2.1779999999999999</v>
      </c>
      <c r="P56" s="82">
        <v>2.1309999999999998</v>
      </c>
      <c r="Q56" s="82">
        <v>1.9690000000000001</v>
      </c>
      <c r="R56" s="82">
        <v>1.84</v>
      </c>
      <c r="S56" s="82">
        <v>1.84</v>
      </c>
      <c r="T56" s="82">
        <v>0</v>
      </c>
      <c r="U56" s="82">
        <v>0</v>
      </c>
      <c r="V56" s="82">
        <v>0</v>
      </c>
      <c r="W56" s="82">
        <v>4.56562</v>
      </c>
      <c r="X56" s="82">
        <v>0</v>
      </c>
      <c r="Y56" s="82">
        <v>1.6176489999999999</v>
      </c>
      <c r="Z56" s="82">
        <v>1.2849999999999999</v>
      </c>
      <c r="AA56" s="82">
        <v>0</v>
      </c>
    </row>
    <row r="57" spans="2:27">
      <c r="D57" s="24" t="s">
        <v>84</v>
      </c>
      <c r="E57" s="58" t="s">
        <v>269</v>
      </c>
      <c r="F57" s="82">
        <v>0</v>
      </c>
      <c r="G57" s="82">
        <v>0</v>
      </c>
      <c r="H57" s="82">
        <v>0</v>
      </c>
      <c r="I57" s="82">
        <v>0</v>
      </c>
      <c r="J57" s="82">
        <v>0</v>
      </c>
      <c r="K57" s="82">
        <v>0</v>
      </c>
      <c r="L57" s="82">
        <v>0</v>
      </c>
      <c r="M57" s="82">
        <v>0</v>
      </c>
      <c r="N57" s="82">
        <v>0</v>
      </c>
      <c r="O57" s="82">
        <v>0</v>
      </c>
      <c r="P57" s="82">
        <v>0</v>
      </c>
      <c r="Q57" s="82">
        <v>0</v>
      </c>
      <c r="R57" s="82">
        <v>23.949819999999999</v>
      </c>
      <c r="S57" s="82">
        <v>11.768000000000001</v>
      </c>
      <c r="T57" s="82">
        <v>18.909670923412801</v>
      </c>
      <c r="U57" s="82">
        <v>0</v>
      </c>
      <c r="V57" s="82">
        <v>0</v>
      </c>
      <c r="W57" s="82">
        <v>21.516480000000001</v>
      </c>
      <c r="X57" s="82">
        <v>56.545470000000002</v>
      </c>
      <c r="Y57" s="82">
        <v>13.773</v>
      </c>
      <c r="Z57" s="82">
        <v>0.81399999999999995</v>
      </c>
      <c r="AA57" s="82">
        <v>1.5325</v>
      </c>
    </row>
    <row r="58" spans="2:27">
      <c r="D58" s="24" t="s">
        <v>76</v>
      </c>
      <c r="E58" s="58" t="s">
        <v>269</v>
      </c>
      <c r="F58" s="82">
        <v>0</v>
      </c>
      <c r="G58" s="82">
        <v>0</v>
      </c>
      <c r="H58" s="82">
        <v>0</v>
      </c>
      <c r="I58" s="82">
        <v>0</v>
      </c>
      <c r="J58" s="82">
        <v>0</v>
      </c>
      <c r="K58" s="82">
        <v>0</v>
      </c>
      <c r="L58" s="82">
        <v>2.8000000000000001E-2</v>
      </c>
      <c r="M58" s="82">
        <v>0.18099999999999999</v>
      </c>
      <c r="N58" s="82">
        <v>0.505</v>
      </c>
      <c r="O58" s="82">
        <v>2.6280000000000001</v>
      </c>
      <c r="P58" s="82">
        <v>0.54800000000000004</v>
      </c>
      <c r="Q58" s="82">
        <v>0.47599999999999998</v>
      </c>
      <c r="R58" s="82">
        <v>0.21</v>
      </c>
      <c r="S58" s="82">
        <v>0.1</v>
      </c>
      <c r="T58" s="82">
        <v>0.25</v>
      </c>
      <c r="U58" s="82">
        <v>0</v>
      </c>
      <c r="V58" s="82">
        <v>0</v>
      </c>
      <c r="W58" s="82">
        <v>1.7170000000000001</v>
      </c>
      <c r="X58" s="82">
        <v>25.703435609022598</v>
      </c>
      <c r="Y58" s="82">
        <v>15.3904496</v>
      </c>
      <c r="Z58" s="82">
        <v>2.3210000000000002</v>
      </c>
      <c r="AA58" s="82">
        <v>0</v>
      </c>
    </row>
    <row r="59" spans="2:27">
      <c r="D59" s="24" t="s">
        <v>43</v>
      </c>
      <c r="E59" s="58" t="s">
        <v>269</v>
      </c>
      <c r="F59" s="82">
        <v>8.2330000000000005</v>
      </c>
      <c r="G59" s="82">
        <v>0.16500000000000001</v>
      </c>
      <c r="H59" s="82">
        <v>0.05</v>
      </c>
      <c r="I59" s="82">
        <v>2</v>
      </c>
      <c r="J59" s="82">
        <v>0</v>
      </c>
      <c r="K59" s="82">
        <v>0</v>
      </c>
      <c r="L59" s="82">
        <v>0.94099999999999995</v>
      </c>
      <c r="M59" s="82">
        <v>0.65900000000000003</v>
      </c>
      <c r="N59" s="82">
        <v>1.038</v>
      </c>
      <c r="O59" s="82">
        <v>4.806</v>
      </c>
      <c r="P59" s="82">
        <v>2.6789999999999998</v>
      </c>
      <c r="Q59" s="82">
        <v>2.4449999999999998</v>
      </c>
      <c r="R59" s="82">
        <v>25.99982</v>
      </c>
      <c r="S59" s="82">
        <v>13.708</v>
      </c>
      <c r="T59" s="82">
        <v>19.159670923412801</v>
      </c>
      <c r="U59" s="82">
        <v>0</v>
      </c>
      <c r="V59" s="82">
        <v>0</v>
      </c>
      <c r="W59" s="82">
        <v>27.799099999999999</v>
      </c>
      <c r="X59" s="82">
        <v>82.2489056090226</v>
      </c>
      <c r="Y59" s="82">
        <v>30.7810986</v>
      </c>
      <c r="Z59" s="82">
        <v>4.42</v>
      </c>
      <c r="AA59" s="82">
        <v>1.5325</v>
      </c>
    </row>
    <row r="60" spans="2:27">
      <c r="C60" s="23" t="s">
        <v>42</v>
      </c>
      <c r="E60" s="61"/>
      <c r="F60" s="82"/>
      <c r="G60" s="82"/>
      <c r="H60" s="82"/>
      <c r="I60" s="82"/>
      <c r="J60" s="82"/>
      <c r="K60" s="82"/>
      <c r="L60" s="82"/>
      <c r="M60" s="82"/>
      <c r="N60" s="82"/>
      <c r="O60" s="82"/>
      <c r="P60" s="82"/>
      <c r="Q60" s="82"/>
      <c r="R60" s="82"/>
      <c r="S60" s="82"/>
      <c r="T60" s="82"/>
      <c r="U60" s="82"/>
      <c r="V60" s="82"/>
      <c r="W60" s="82"/>
      <c r="X60" s="82"/>
      <c r="Y60" s="82"/>
      <c r="Z60" s="82"/>
      <c r="AA60" s="82"/>
    </row>
    <row r="61" spans="2:27">
      <c r="D61" s="11" t="s">
        <v>422</v>
      </c>
      <c r="E61" s="58" t="s">
        <v>269</v>
      </c>
      <c r="F61" s="82">
        <v>1821.9480000000001</v>
      </c>
      <c r="G61" s="82">
        <v>2011.1337228</v>
      </c>
      <c r="H61" s="82">
        <v>1829.68398954692</v>
      </c>
      <c r="I61" s="82">
        <v>1838.9644940000001</v>
      </c>
      <c r="J61" s="82">
        <v>1808.6869683636401</v>
      </c>
      <c r="K61" s="82">
        <v>1861.727476</v>
      </c>
      <c r="L61" s="82">
        <v>1450.233614</v>
      </c>
      <c r="M61" s="82">
        <v>1744.215256</v>
      </c>
      <c r="N61" s="82">
        <v>1536.0550000000001</v>
      </c>
      <c r="O61" s="82">
        <v>1678.5740000000001</v>
      </c>
      <c r="P61" s="82">
        <v>1279.9124400000001</v>
      </c>
      <c r="Q61" s="82">
        <v>1444.604</v>
      </c>
      <c r="R61" s="82">
        <v>1503.0719999999999</v>
      </c>
      <c r="S61" s="82">
        <v>2047.6093000306801</v>
      </c>
      <c r="T61" s="82">
        <v>2222.9720000000002</v>
      </c>
      <c r="U61" s="82">
        <v>2385.4336396261701</v>
      </c>
      <c r="V61" s="82">
        <v>2189.4636396261699</v>
      </c>
      <c r="W61" s="82">
        <v>1998.8536796261701</v>
      </c>
      <c r="X61" s="82">
        <v>1799.54248192617</v>
      </c>
      <c r="Y61" s="82">
        <v>1611.1844515</v>
      </c>
      <c r="Z61" s="82">
        <v>1528.2054949999899</v>
      </c>
      <c r="AA61" s="82">
        <v>1555.766122</v>
      </c>
    </row>
    <row r="62" spans="2:27">
      <c r="D62" s="24" t="s">
        <v>84</v>
      </c>
      <c r="E62" s="58" t="s">
        <v>269</v>
      </c>
      <c r="F62" s="82">
        <v>421.245</v>
      </c>
      <c r="G62" s="82">
        <v>443.91463199999998</v>
      </c>
      <c r="H62" s="82">
        <v>410.03412500000002</v>
      </c>
      <c r="I62" s="82">
        <v>262.19844000000001</v>
      </c>
      <c r="J62" s="82">
        <v>221.273</v>
      </c>
      <c r="K62" s="82">
        <v>294.79106999999999</v>
      </c>
      <c r="L62" s="82">
        <v>244.47142500000001</v>
      </c>
      <c r="M62" s="82">
        <v>218.000854</v>
      </c>
      <c r="N62" s="82">
        <v>196.74799999999999</v>
      </c>
      <c r="O62" s="82">
        <v>388.88299999999998</v>
      </c>
      <c r="P62" s="82">
        <v>298.92500000000001</v>
      </c>
      <c r="Q62" s="82">
        <v>270.012</v>
      </c>
      <c r="R62" s="82">
        <v>243.53399999999999</v>
      </c>
      <c r="S62" s="82">
        <v>554.84500000000003</v>
      </c>
      <c r="T62" s="82">
        <v>414.086552587315</v>
      </c>
      <c r="U62" s="82">
        <v>440.41800000000001</v>
      </c>
      <c r="V62" s="82">
        <v>365.90100000000001</v>
      </c>
      <c r="W62" s="82">
        <v>408.45881000000003</v>
      </c>
      <c r="X62" s="82">
        <v>343.30811999999997</v>
      </c>
      <c r="Y62" s="82">
        <v>391.93</v>
      </c>
      <c r="Z62" s="82">
        <v>395.76057200000002</v>
      </c>
      <c r="AA62" s="82">
        <v>451.88519300000002</v>
      </c>
    </row>
    <row r="63" spans="2:27">
      <c r="D63" s="24" t="s">
        <v>76</v>
      </c>
      <c r="E63" s="58" t="s">
        <v>269</v>
      </c>
      <c r="F63" s="82">
        <v>97.32</v>
      </c>
      <c r="G63" s="82">
        <v>88.395926000000003</v>
      </c>
      <c r="H63" s="82">
        <v>69.089163999999997</v>
      </c>
      <c r="I63" s="82">
        <v>147.58227199999999</v>
      </c>
      <c r="J63" s="82">
        <v>150.304</v>
      </c>
      <c r="K63" s="82">
        <v>97.405341000000007</v>
      </c>
      <c r="L63" s="82">
        <v>53.850202000000003</v>
      </c>
      <c r="M63" s="82">
        <v>60.726622999999897</v>
      </c>
      <c r="N63" s="82">
        <v>58.558</v>
      </c>
      <c r="O63" s="82">
        <v>57.097999999999999</v>
      </c>
      <c r="P63" s="82">
        <v>48.189</v>
      </c>
      <c r="Q63" s="82">
        <v>43.750999999999998</v>
      </c>
      <c r="R63" s="82">
        <v>44.904000000000003</v>
      </c>
      <c r="S63" s="82">
        <v>45.631999999999998</v>
      </c>
      <c r="T63" s="82">
        <v>45.654000000000003</v>
      </c>
      <c r="U63" s="82">
        <v>47.945999999999998</v>
      </c>
      <c r="V63" s="82">
        <v>44.637</v>
      </c>
      <c r="W63" s="82">
        <v>50.741999999999997</v>
      </c>
      <c r="X63" s="82">
        <v>22.326280000000001</v>
      </c>
      <c r="Y63" s="82">
        <v>49.076360000000001</v>
      </c>
      <c r="Z63" s="82">
        <v>45.746901000000001</v>
      </c>
      <c r="AA63" s="82">
        <v>47.247039999999998</v>
      </c>
    </row>
    <row r="64" spans="2:27">
      <c r="D64" s="24" t="s">
        <v>43</v>
      </c>
      <c r="E64" s="58" t="s">
        <v>269</v>
      </c>
      <c r="F64" s="82">
        <v>2340.5129999999999</v>
      </c>
      <c r="G64" s="82">
        <v>2543.4442807999999</v>
      </c>
      <c r="H64" s="82">
        <v>2308.8072785469199</v>
      </c>
      <c r="I64" s="82">
        <v>2248.7452060000001</v>
      </c>
      <c r="J64" s="82">
        <v>2180.2639683636398</v>
      </c>
      <c r="K64" s="82">
        <v>2253.9238869999999</v>
      </c>
      <c r="L64" s="82">
        <v>1748.555241</v>
      </c>
      <c r="M64" s="82">
        <v>2022.9427330000001</v>
      </c>
      <c r="N64" s="82">
        <v>1791.3610000000001</v>
      </c>
      <c r="O64" s="82">
        <v>2124.5549999999998</v>
      </c>
      <c r="P64" s="82">
        <v>1627.0264400000001</v>
      </c>
      <c r="Q64" s="82">
        <v>1758.367</v>
      </c>
      <c r="R64" s="82">
        <v>1791.51</v>
      </c>
      <c r="S64" s="82">
        <v>2648.0863000306799</v>
      </c>
      <c r="T64" s="82">
        <v>2682.7125525873098</v>
      </c>
      <c r="U64" s="82">
        <v>2873.7976396261702</v>
      </c>
      <c r="V64" s="82">
        <v>2600.0016396261699</v>
      </c>
      <c r="W64" s="82">
        <v>2458.0544896261699</v>
      </c>
      <c r="X64" s="82">
        <v>2165.1768819261702</v>
      </c>
      <c r="Y64" s="82">
        <v>2052.1908115000001</v>
      </c>
      <c r="Z64" s="82">
        <v>1969.71296799999</v>
      </c>
      <c r="AA64" s="82">
        <v>2054.8983549999998</v>
      </c>
    </row>
    <row r="65" spans="1:27">
      <c r="C65" s="23" t="s">
        <v>43</v>
      </c>
      <c r="E65" s="61"/>
      <c r="F65" s="82"/>
      <c r="G65" s="82"/>
      <c r="H65" s="82"/>
      <c r="I65" s="82"/>
      <c r="J65" s="82"/>
      <c r="K65" s="82"/>
      <c r="L65" s="82"/>
      <c r="M65" s="82"/>
      <c r="N65" s="82"/>
      <c r="O65" s="82"/>
      <c r="P65" s="82"/>
      <c r="Q65" s="82"/>
      <c r="R65" s="82"/>
      <c r="S65" s="82"/>
      <c r="T65" s="82"/>
      <c r="U65" s="82"/>
      <c r="V65" s="82"/>
      <c r="W65" s="82"/>
      <c r="X65" s="82"/>
      <c r="Y65" s="82"/>
      <c r="Z65" s="82"/>
      <c r="AA65" s="82"/>
    </row>
    <row r="66" spans="1:27">
      <c r="D66" s="11" t="s">
        <v>422</v>
      </c>
      <c r="E66" s="58" t="s">
        <v>269</v>
      </c>
      <c r="F66" s="82">
        <v>2256.0906249999998</v>
      </c>
      <c r="G66" s="82">
        <v>2387.5581228000001</v>
      </c>
      <c r="H66" s="82">
        <v>2156.3277122211498</v>
      </c>
      <c r="I66" s="82">
        <v>2173.5727547336301</v>
      </c>
      <c r="J66" s="82">
        <v>2170.8036623118101</v>
      </c>
      <c r="K66" s="82">
        <v>2226.1243364526899</v>
      </c>
      <c r="L66" s="82">
        <v>1746.5628015085799</v>
      </c>
      <c r="M66" s="82">
        <v>1980.63725601806</v>
      </c>
      <c r="N66" s="82">
        <v>1788.391519603</v>
      </c>
      <c r="O66" s="82">
        <v>1928.1055196029999</v>
      </c>
      <c r="P66" s="82">
        <v>1495.85744</v>
      </c>
      <c r="Q66" s="82">
        <v>1660.46313929487</v>
      </c>
      <c r="R66" s="82">
        <v>1710.03893836985</v>
      </c>
      <c r="S66" s="82">
        <v>2287.7597450293301</v>
      </c>
      <c r="T66" s="82">
        <v>2473.5921499999999</v>
      </c>
      <c r="U66" s="82">
        <v>2633.98834982885</v>
      </c>
      <c r="V66" s="82">
        <v>2457.95920664507</v>
      </c>
      <c r="W66" s="82">
        <v>2257.3949105863098</v>
      </c>
      <c r="X66" s="82">
        <v>2066.08406277021</v>
      </c>
      <c r="Y66" s="82">
        <v>1878.3684553440401</v>
      </c>
      <c r="Z66" s="82">
        <v>1782.68140784403</v>
      </c>
      <c r="AA66" s="82">
        <v>1809.5380348440401</v>
      </c>
    </row>
    <row r="67" spans="1:27">
      <c r="D67" s="24" t="s">
        <v>84</v>
      </c>
      <c r="E67" s="58" t="s">
        <v>269</v>
      </c>
      <c r="F67" s="82">
        <v>421.245</v>
      </c>
      <c r="G67" s="82">
        <v>443.91463199999998</v>
      </c>
      <c r="H67" s="82">
        <v>410.03412500000002</v>
      </c>
      <c r="I67" s="82">
        <v>262.19844000000001</v>
      </c>
      <c r="J67" s="82">
        <v>221.273</v>
      </c>
      <c r="K67" s="82">
        <v>294.79106999999999</v>
      </c>
      <c r="L67" s="82">
        <v>244.47142500000001</v>
      </c>
      <c r="M67" s="82">
        <v>218.000854</v>
      </c>
      <c r="N67" s="82">
        <v>196.74799999999999</v>
      </c>
      <c r="O67" s="82">
        <v>388.88299999999998</v>
      </c>
      <c r="P67" s="82">
        <v>298.92500000000001</v>
      </c>
      <c r="Q67" s="82">
        <v>270.012</v>
      </c>
      <c r="R67" s="82">
        <v>267.48381999999998</v>
      </c>
      <c r="S67" s="82">
        <v>566.61300000000006</v>
      </c>
      <c r="T67" s="82">
        <v>432.99622351072702</v>
      </c>
      <c r="U67" s="82">
        <v>440.41800000000001</v>
      </c>
      <c r="V67" s="82">
        <v>365.90100000000001</v>
      </c>
      <c r="W67" s="82">
        <v>429.97528999999997</v>
      </c>
      <c r="X67" s="82">
        <v>399.85359</v>
      </c>
      <c r="Y67" s="82">
        <v>405.70299999999997</v>
      </c>
      <c r="Z67" s="82">
        <v>396.57457199999999</v>
      </c>
      <c r="AA67" s="82">
        <v>453.41769299999999</v>
      </c>
    </row>
    <row r="68" spans="1:27">
      <c r="D68" s="24" t="s">
        <v>76</v>
      </c>
      <c r="E68" s="58" t="s">
        <v>269</v>
      </c>
      <c r="F68" s="82">
        <v>132.48406249999999</v>
      </c>
      <c r="G68" s="82">
        <v>123.06364095000001</v>
      </c>
      <c r="H68" s="82">
        <v>94.673356249999998</v>
      </c>
      <c r="I68" s="82">
        <v>177.43927199999999</v>
      </c>
      <c r="J68" s="82">
        <v>196.42</v>
      </c>
      <c r="K68" s="82">
        <v>151.793341</v>
      </c>
      <c r="L68" s="82">
        <v>86.153201999999993</v>
      </c>
      <c r="M68" s="82">
        <v>92.333622999999903</v>
      </c>
      <c r="N68" s="82">
        <v>82.331000000000003</v>
      </c>
      <c r="O68" s="82">
        <v>88.558999999999997</v>
      </c>
      <c r="P68" s="82">
        <v>90.870999999999995</v>
      </c>
      <c r="Q68" s="82">
        <v>98.473626461538501</v>
      </c>
      <c r="R68" s="82">
        <v>98.965165538461505</v>
      </c>
      <c r="S68" s="82">
        <v>92.207410500250006</v>
      </c>
      <c r="T68" s="82">
        <v>87.564161999999996</v>
      </c>
      <c r="U68" s="82">
        <v>78.334999999999994</v>
      </c>
      <c r="V68" s="82">
        <v>68.408000000000001</v>
      </c>
      <c r="W68" s="82">
        <v>79.048000000000002</v>
      </c>
      <c r="X68" s="82">
        <v>70.011980699248099</v>
      </c>
      <c r="Y68" s="82">
        <v>85.953846600000006</v>
      </c>
      <c r="Z68" s="82">
        <v>69.988900999999998</v>
      </c>
      <c r="AA68" s="82">
        <v>69.092039999999997</v>
      </c>
    </row>
    <row r="69" spans="1:27">
      <c r="D69" s="24" t="s">
        <v>43</v>
      </c>
      <c r="E69" s="58" t="s">
        <v>269</v>
      </c>
      <c r="F69" s="82">
        <v>2809.8196874999999</v>
      </c>
      <c r="G69" s="82">
        <v>2954.5363957499999</v>
      </c>
      <c r="H69" s="82">
        <v>2661.0351934711498</v>
      </c>
      <c r="I69" s="82">
        <v>2613.2104667336198</v>
      </c>
      <c r="J69" s="82">
        <v>2588.4966623118098</v>
      </c>
      <c r="K69" s="82">
        <v>2672.7087474526902</v>
      </c>
      <c r="L69" s="82">
        <v>2077.1874285085801</v>
      </c>
      <c r="M69" s="82">
        <v>2290.9717330180601</v>
      </c>
      <c r="N69" s="82">
        <v>2067.470519603</v>
      </c>
      <c r="O69" s="82">
        <v>2405.5475196030002</v>
      </c>
      <c r="P69" s="82">
        <v>1885.65344</v>
      </c>
      <c r="Q69" s="82">
        <v>2028.94876575641</v>
      </c>
      <c r="R69" s="82">
        <v>2076.4879239083202</v>
      </c>
      <c r="S69" s="82">
        <v>2946.5801555295802</v>
      </c>
      <c r="T69" s="82">
        <v>2994.1525355107301</v>
      </c>
      <c r="U69" s="82">
        <v>3152.7413498288502</v>
      </c>
      <c r="V69" s="82">
        <v>2892.2682066450702</v>
      </c>
      <c r="W69" s="82">
        <v>2766.4182005863099</v>
      </c>
      <c r="X69" s="82">
        <v>2535.94963346945</v>
      </c>
      <c r="Y69" s="82">
        <v>2370.0253019440402</v>
      </c>
      <c r="Z69" s="82">
        <v>2249.2448808440299</v>
      </c>
      <c r="AA69" s="82">
        <v>2332.0477678440402</v>
      </c>
    </row>
    <row r="70" spans="1:27">
      <c r="A70" t="s">
        <v>2</v>
      </c>
      <c r="E70" s="61"/>
      <c r="F70" s="82"/>
      <c r="G70" s="82"/>
      <c r="H70" s="82"/>
      <c r="I70" s="82"/>
      <c r="J70" s="82"/>
      <c r="K70" s="82"/>
      <c r="L70" s="82"/>
      <c r="M70" s="82"/>
      <c r="N70" s="82"/>
      <c r="O70" s="82"/>
      <c r="P70" s="82"/>
      <c r="Q70" s="82"/>
      <c r="R70" s="82"/>
      <c r="S70" s="82"/>
      <c r="T70" s="82"/>
      <c r="U70" s="82"/>
      <c r="V70" s="82"/>
      <c r="W70" s="82"/>
      <c r="X70" s="82"/>
      <c r="Y70" s="82"/>
      <c r="Z70" s="82"/>
      <c r="AA70" s="82"/>
    </row>
    <row r="71" spans="1:27">
      <c r="B71" s="23" t="s">
        <v>65</v>
      </c>
      <c r="E71" s="61"/>
      <c r="F71" s="82"/>
      <c r="G71" s="82"/>
      <c r="H71" s="82"/>
      <c r="I71" s="82"/>
      <c r="J71" s="82"/>
      <c r="K71" s="82"/>
      <c r="L71" s="82"/>
      <c r="M71" s="82"/>
      <c r="N71" s="82"/>
      <c r="O71" s="82"/>
      <c r="P71" s="82"/>
      <c r="Q71" s="82"/>
      <c r="R71" s="82"/>
      <c r="S71" s="82"/>
      <c r="T71" s="82"/>
      <c r="U71" s="82"/>
      <c r="V71" s="82"/>
      <c r="W71" s="82"/>
      <c r="X71" s="82"/>
    </row>
    <row r="72" spans="1:27">
      <c r="C72" s="23" t="s">
        <v>82</v>
      </c>
      <c r="E72" s="61"/>
      <c r="F72" s="82"/>
      <c r="G72" s="82"/>
      <c r="H72" s="82"/>
      <c r="I72" s="82"/>
      <c r="J72" s="82"/>
      <c r="K72" s="82"/>
      <c r="L72" s="82"/>
      <c r="M72" s="82"/>
      <c r="N72" s="82"/>
      <c r="O72" s="82"/>
      <c r="P72" s="82"/>
      <c r="Q72" s="82"/>
      <c r="R72" s="82"/>
      <c r="S72" s="82"/>
      <c r="T72" s="82"/>
      <c r="U72" s="82"/>
      <c r="V72" s="82"/>
      <c r="W72" s="82"/>
      <c r="X72" s="82"/>
    </row>
    <row r="73" spans="1:27">
      <c r="D73" s="11" t="s">
        <v>274</v>
      </c>
      <c r="E73" s="58" t="s">
        <v>269</v>
      </c>
      <c r="F73" s="82">
        <v>0</v>
      </c>
      <c r="G73" s="82">
        <v>0</v>
      </c>
      <c r="H73" s="82">
        <v>0</v>
      </c>
      <c r="I73" s="82">
        <v>0</v>
      </c>
      <c r="J73" s="82">
        <v>0</v>
      </c>
      <c r="K73" s="82">
        <v>0</v>
      </c>
      <c r="L73" s="82">
        <v>0</v>
      </c>
      <c r="M73" s="82">
        <v>0</v>
      </c>
      <c r="N73" s="82">
        <v>0</v>
      </c>
      <c r="O73" s="82">
        <v>0</v>
      </c>
      <c r="P73" s="82">
        <v>0</v>
      </c>
      <c r="Q73" s="82">
        <v>0</v>
      </c>
      <c r="R73" s="82">
        <v>0</v>
      </c>
      <c r="S73" s="82">
        <v>0</v>
      </c>
      <c r="T73" s="82">
        <v>0</v>
      </c>
      <c r="U73" s="82">
        <v>0</v>
      </c>
      <c r="V73" s="82">
        <v>0</v>
      </c>
      <c r="W73" s="82">
        <v>0</v>
      </c>
      <c r="X73" s="82">
        <v>0</v>
      </c>
      <c r="Y73" s="82">
        <v>0</v>
      </c>
      <c r="Z73" s="82">
        <v>0</v>
      </c>
      <c r="AA73" s="82">
        <v>0</v>
      </c>
    </row>
    <row r="74" spans="1:27">
      <c r="D74" s="24" t="s">
        <v>84</v>
      </c>
      <c r="E74" s="58" t="s">
        <v>269</v>
      </c>
      <c r="F74" s="82">
        <v>0</v>
      </c>
      <c r="G74" s="82">
        <v>0</v>
      </c>
      <c r="H74" s="82">
        <v>0</v>
      </c>
      <c r="I74" s="82">
        <v>0</v>
      </c>
      <c r="J74" s="82">
        <v>0</v>
      </c>
      <c r="K74" s="82">
        <v>0</v>
      </c>
      <c r="L74" s="82">
        <v>0</v>
      </c>
      <c r="M74" s="82">
        <v>0</v>
      </c>
      <c r="N74" s="82">
        <v>0</v>
      </c>
      <c r="O74" s="82">
        <v>0</v>
      </c>
      <c r="P74" s="82">
        <v>0</v>
      </c>
      <c r="Q74" s="82">
        <v>0</v>
      </c>
      <c r="R74" s="82">
        <v>0</v>
      </c>
      <c r="S74" s="82">
        <v>0</v>
      </c>
      <c r="T74" s="82">
        <v>0</v>
      </c>
      <c r="U74" s="82">
        <v>0</v>
      </c>
      <c r="V74" s="82">
        <v>0</v>
      </c>
      <c r="W74" s="82">
        <v>0</v>
      </c>
      <c r="X74" s="82">
        <v>0</v>
      </c>
      <c r="Y74" s="82">
        <v>0</v>
      </c>
      <c r="Z74" s="82">
        <v>0</v>
      </c>
      <c r="AA74" s="82">
        <v>0</v>
      </c>
    </row>
    <row r="75" spans="1:27">
      <c r="D75" s="24" t="s">
        <v>76</v>
      </c>
      <c r="E75" s="58" t="s">
        <v>269</v>
      </c>
      <c r="F75" s="82">
        <v>0</v>
      </c>
      <c r="G75" s="82">
        <v>0</v>
      </c>
      <c r="H75" s="82">
        <v>0</v>
      </c>
      <c r="I75" s="82">
        <v>0</v>
      </c>
      <c r="J75" s="82">
        <v>0</v>
      </c>
      <c r="K75" s="82">
        <v>0</v>
      </c>
      <c r="L75" s="82">
        <v>0</v>
      </c>
      <c r="M75" s="82">
        <v>0</v>
      </c>
      <c r="N75" s="82">
        <v>0</v>
      </c>
      <c r="O75" s="82">
        <v>0</v>
      </c>
      <c r="P75" s="82">
        <v>0</v>
      </c>
      <c r="Q75" s="82">
        <v>0</v>
      </c>
      <c r="R75" s="82">
        <v>0</v>
      </c>
      <c r="S75" s="82">
        <v>0</v>
      </c>
      <c r="T75" s="82">
        <v>0</v>
      </c>
      <c r="U75" s="82">
        <v>0</v>
      </c>
      <c r="V75" s="82">
        <v>0</v>
      </c>
      <c r="W75" s="82">
        <v>0</v>
      </c>
      <c r="X75" s="82">
        <v>0</v>
      </c>
      <c r="Y75" s="82">
        <v>0</v>
      </c>
      <c r="Z75" s="82">
        <v>0</v>
      </c>
      <c r="AA75" s="82">
        <v>0</v>
      </c>
    </row>
    <row r="76" spans="1:27">
      <c r="D76" s="24" t="s">
        <v>43</v>
      </c>
      <c r="E76" s="58" t="s">
        <v>269</v>
      </c>
      <c r="F76" s="82">
        <v>0</v>
      </c>
      <c r="G76" s="82">
        <v>0</v>
      </c>
      <c r="H76" s="82">
        <v>0</v>
      </c>
      <c r="I76" s="82">
        <v>0</v>
      </c>
      <c r="J76" s="82">
        <v>0</v>
      </c>
      <c r="K76" s="82">
        <v>0</v>
      </c>
      <c r="L76" s="82">
        <v>0</v>
      </c>
      <c r="M76" s="82">
        <v>0</v>
      </c>
      <c r="N76" s="82">
        <v>0</v>
      </c>
      <c r="O76" s="82">
        <v>0</v>
      </c>
      <c r="P76" s="82">
        <v>0</v>
      </c>
      <c r="Q76" s="82">
        <v>0</v>
      </c>
      <c r="R76" s="82">
        <v>0</v>
      </c>
      <c r="S76" s="82">
        <v>0</v>
      </c>
      <c r="T76" s="82">
        <v>0</v>
      </c>
      <c r="U76" s="82">
        <v>0</v>
      </c>
      <c r="V76" s="82">
        <v>0</v>
      </c>
      <c r="W76" s="82">
        <v>0</v>
      </c>
      <c r="X76" s="82">
        <v>0</v>
      </c>
      <c r="Y76" s="82">
        <v>0</v>
      </c>
      <c r="Z76" s="82">
        <v>0</v>
      </c>
      <c r="AA76" s="82">
        <v>0</v>
      </c>
    </row>
    <row r="77" spans="1:27">
      <c r="C77" s="23" t="s">
        <v>83</v>
      </c>
      <c r="E77" s="61"/>
      <c r="F77" s="82"/>
      <c r="G77" s="82"/>
      <c r="H77" s="82"/>
      <c r="I77" s="82"/>
      <c r="J77" s="82"/>
      <c r="K77" s="82"/>
      <c r="L77" s="82"/>
      <c r="M77" s="82"/>
      <c r="N77" s="82"/>
      <c r="O77" s="82"/>
      <c r="P77" s="82"/>
      <c r="Q77" s="82"/>
      <c r="R77" s="82"/>
      <c r="S77" s="82"/>
      <c r="T77" s="82"/>
      <c r="U77" s="82"/>
      <c r="V77" s="82"/>
      <c r="W77" s="82"/>
      <c r="X77" s="82"/>
      <c r="Y77" s="82"/>
      <c r="Z77" s="82"/>
      <c r="AA77" s="82"/>
    </row>
    <row r="78" spans="1:27">
      <c r="D78" s="11" t="s">
        <v>274</v>
      </c>
      <c r="E78" s="58" t="s">
        <v>269</v>
      </c>
      <c r="F78" s="82">
        <v>0</v>
      </c>
      <c r="G78" s="82">
        <v>0</v>
      </c>
      <c r="H78" s="82">
        <v>0</v>
      </c>
      <c r="I78" s="82">
        <v>0</v>
      </c>
      <c r="J78" s="82">
        <v>0</v>
      </c>
      <c r="K78" s="82">
        <v>1.421</v>
      </c>
      <c r="L78" s="82">
        <v>0</v>
      </c>
      <c r="M78" s="82">
        <v>0</v>
      </c>
      <c r="N78" s="82">
        <v>0</v>
      </c>
      <c r="O78" s="82">
        <v>0</v>
      </c>
      <c r="P78" s="82">
        <v>0</v>
      </c>
      <c r="Q78" s="82">
        <v>27.375308</v>
      </c>
      <c r="R78" s="82">
        <v>130.662383333333</v>
      </c>
      <c r="S78" s="82">
        <v>50.334000000000003</v>
      </c>
      <c r="T78" s="82">
        <v>19.9508166666667</v>
      </c>
      <c r="U78" s="82">
        <v>85.063999999999993</v>
      </c>
      <c r="V78" s="82">
        <v>0</v>
      </c>
      <c r="W78" s="82">
        <v>0</v>
      </c>
      <c r="X78" s="82">
        <v>0</v>
      </c>
      <c r="Y78" s="82">
        <v>0</v>
      </c>
      <c r="Z78" s="82">
        <v>195.977</v>
      </c>
      <c r="AA78" s="82">
        <v>0</v>
      </c>
    </row>
    <row r="79" spans="1:27">
      <c r="D79" s="24" t="s">
        <v>84</v>
      </c>
      <c r="E79" s="58" t="s">
        <v>269</v>
      </c>
      <c r="F79" s="82">
        <v>61.335850000000001</v>
      </c>
      <c r="G79" s="82">
        <v>8.3670000000000009</v>
      </c>
      <c r="H79" s="82">
        <v>0</v>
      </c>
      <c r="I79" s="82">
        <v>80</v>
      </c>
      <c r="J79" s="82">
        <v>0</v>
      </c>
      <c r="K79" s="82">
        <v>5.46</v>
      </c>
      <c r="L79" s="82">
        <v>165.94649999999999</v>
      </c>
      <c r="M79" s="82">
        <v>68.677719999999994</v>
      </c>
      <c r="N79" s="82">
        <v>286.93599999999998</v>
      </c>
      <c r="O79" s="82">
        <v>416.27008999999998</v>
      </c>
      <c r="P79" s="82">
        <v>490.92144141078001</v>
      </c>
      <c r="Q79" s="82">
        <v>678.03456738503201</v>
      </c>
      <c r="R79" s="82">
        <v>731.63202080336703</v>
      </c>
      <c r="S79" s="82">
        <v>1100.3987299999999</v>
      </c>
      <c r="T79" s="82">
        <v>1002.86602833333</v>
      </c>
      <c r="U79" s="82">
        <v>1004.26984</v>
      </c>
      <c r="V79" s="82">
        <v>1192.8867</v>
      </c>
      <c r="W79" s="82">
        <v>830.75980000000004</v>
      </c>
      <c r="X79" s="82">
        <v>196.73558</v>
      </c>
      <c r="Y79" s="82">
        <v>492.63200000000001</v>
      </c>
      <c r="Z79" s="82">
        <v>419.14299999999997</v>
      </c>
      <c r="AA79" s="82">
        <v>233.09016999999901</v>
      </c>
    </row>
    <row r="80" spans="1:27">
      <c r="D80" s="24" t="s">
        <v>76</v>
      </c>
      <c r="E80" s="58" t="s">
        <v>269</v>
      </c>
      <c r="F80" s="82">
        <v>0</v>
      </c>
      <c r="G80" s="82">
        <v>0</v>
      </c>
      <c r="H80" s="82">
        <v>0</v>
      </c>
      <c r="I80" s="82">
        <v>0</v>
      </c>
      <c r="J80" s="82">
        <v>0</v>
      </c>
      <c r="K80" s="82">
        <v>0</v>
      </c>
      <c r="L80" s="82">
        <v>0</v>
      </c>
      <c r="M80" s="82">
        <v>0</v>
      </c>
      <c r="N80" s="82">
        <v>0</v>
      </c>
      <c r="O80" s="82">
        <v>0</v>
      </c>
      <c r="P80" s="82">
        <v>0</v>
      </c>
      <c r="Q80" s="82">
        <v>0</v>
      </c>
      <c r="R80" s="82">
        <v>0</v>
      </c>
      <c r="S80" s="82">
        <v>0</v>
      </c>
      <c r="T80" s="82">
        <v>0</v>
      </c>
      <c r="U80" s="82">
        <v>0</v>
      </c>
      <c r="V80" s="82">
        <v>0</v>
      </c>
      <c r="W80" s="82">
        <v>0</v>
      </c>
      <c r="X80" s="82">
        <v>0</v>
      </c>
      <c r="Y80" s="82">
        <v>0</v>
      </c>
      <c r="Z80" s="82">
        <v>0</v>
      </c>
      <c r="AA80" s="82">
        <v>129.9325</v>
      </c>
    </row>
    <row r="81" spans="1:27">
      <c r="D81" s="24" t="s">
        <v>43</v>
      </c>
      <c r="E81" s="58" t="s">
        <v>269</v>
      </c>
      <c r="F81" s="82">
        <v>61.335850000000001</v>
      </c>
      <c r="G81" s="82">
        <v>8.3670000000000009</v>
      </c>
      <c r="H81" s="82">
        <v>0</v>
      </c>
      <c r="I81" s="82">
        <v>80</v>
      </c>
      <c r="J81" s="82">
        <v>0</v>
      </c>
      <c r="K81" s="82">
        <v>6.8810000000000002</v>
      </c>
      <c r="L81" s="82">
        <v>165.94649999999999</v>
      </c>
      <c r="M81" s="82">
        <v>68.677719999999994</v>
      </c>
      <c r="N81" s="82">
        <v>286.93599999999998</v>
      </c>
      <c r="O81" s="82">
        <v>416.27008999999998</v>
      </c>
      <c r="P81" s="82">
        <v>490.92144141078001</v>
      </c>
      <c r="Q81" s="82">
        <v>705.40987538503202</v>
      </c>
      <c r="R81" s="82">
        <v>862.2944041367</v>
      </c>
      <c r="S81" s="82">
        <v>1150.7327299999999</v>
      </c>
      <c r="T81" s="82">
        <v>1022.8168449999999</v>
      </c>
      <c r="U81" s="82">
        <v>1089.33384</v>
      </c>
      <c r="V81" s="82">
        <v>1192.8867</v>
      </c>
      <c r="W81" s="82">
        <v>830.75980000000004</v>
      </c>
      <c r="X81" s="82">
        <v>196.73558</v>
      </c>
      <c r="Y81" s="82">
        <v>492.63200000000001</v>
      </c>
      <c r="Z81" s="82">
        <v>615.12</v>
      </c>
      <c r="AA81" s="82">
        <v>363.02266999999898</v>
      </c>
    </row>
    <row r="82" spans="1:27">
      <c r="C82" s="23" t="s">
        <v>42</v>
      </c>
      <c r="E82" s="61"/>
      <c r="F82" s="82"/>
      <c r="G82" s="82"/>
      <c r="H82" s="82"/>
      <c r="I82" s="82"/>
      <c r="J82" s="82"/>
      <c r="K82" s="82"/>
      <c r="L82" s="82"/>
      <c r="M82" s="82"/>
      <c r="N82" s="82"/>
      <c r="O82" s="82"/>
      <c r="P82" s="82"/>
      <c r="Q82" s="82"/>
      <c r="R82" s="82"/>
      <c r="S82" s="82"/>
      <c r="T82" s="82"/>
      <c r="U82" s="82"/>
      <c r="V82" s="82"/>
      <c r="W82" s="82"/>
      <c r="X82" s="82"/>
      <c r="Y82" s="82"/>
      <c r="Z82" s="82"/>
      <c r="AA82" s="82"/>
    </row>
    <row r="83" spans="1:27">
      <c r="D83" s="11" t="s">
        <v>274</v>
      </c>
      <c r="E83" s="58" t="s">
        <v>269</v>
      </c>
      <c r="F83" s="82">
        <v>1370.8510000000001</v>
      </c>
      <c r="G83" s="82">
        <v>1480.961</v>
      </c>
      <c r="H83" s="82">
        <v>1375.3116</v>
      </c>
      <c r="I83" s="82">
        <v>1493.568</v>
      </c>
      <c r="J83" s="82">
        <v>1555.3489999999999</v>
      </c>
      <c r="K83" s="82">
        <v>1822.4872730245299</v>
      </c>
      <c r="L83" s="82">
        <v>1312.96845273073</v>
      </c>
      <c r="M83" s="82">
        <v>1849.0433235734599</v>
      </c>
      <c r="N83" s="82">
        <v>1590.5140906691699</v>
      </c>
      <c r="O83" s="82">
        <v>1391.6676421304701</v>
      </c>
      <c r="P83" s="82">
        <v>1466.1773010893201</v>
      </c>
      <c r="Q83" s="82">
        <v>1798.8216763600001</v>
      </c>
      <c r="R83" s="82">
        <v>1991.9880433343001</v>
      </c>
      <c r="S83" s="82">
        <v>2093.2615425822</v>
      </c>
      <c r="T83" s="82">
        <v>2261.14159158446</v>
      </c>
      <c r="U83" s="82">
        <v>2057.6258608765702</v>
      </c>
      <c r="V83" s="82">
        <v>2168.2981929391399</v>
      </c>
      <c r="W83" s="82">
        <v>1896.1484022527</v>
      </c>
      <c r="X83" s="82">
        <v>1969.93220336525</v>
      </c>
      <c r="Y83" s="82">
        <v>1979.65498949776</v>
      </c>
      <c r="Z83" s="82">
        <v>1928.8342924999999</v>
      </c>
      <c r="AA83" s="82">
        <v>1712.430489869</v>
      </c>
    </row>
    <row r="84" spans="1:27">
      <c r="D84" s="24" t="s">
        <v>84</v>
      </c>
      <c r="E84" s="58" t="s">
        <v>269</v>
      </c>
      <c r="F84" s="82">
        <v>981.97406999999998</v>
      </c>
      <c r="G84" s="82">
        <v>1105.0376100000001</v>
      </c>
      <c r="H84" s="82">
        <v>757.04441999999995</v>
      </c>
      <c r="I84" s="82">
        <v>701.99800000000005</v>
      </c>
      <c r="J84" s="82">
        <v>716.87699999999995</v>
      </c>
      <c r="K84" s="82">
        <v>657.94547</v>
      </c>
      <c r="L84" s="82">
        <v>635.88551500000005</v>
      </c>
      <c r="M84" s="82">
        <v>585.95477000000005</v>
      </c>
      <c r="N84" s="82">
        <v>735.40893000000005</v>
      </c>
      <c r="O84" s="82">
        <v>419.97964000000002</v>
      </c>
      <c r="P84" s="82">
        <v>403.99351000000001</v>
      </c>
      <c r="Q84" s="82">
        <v>468.75497999999999</v>
      </c>
      <c r="R84" s="82">
        <v>565.26910325966401</v>
      </c>
      <c r="S84" s="82">
        <v>780.23233485912897</v>
      </c>
      <c r="T84" s="82">
        <v>1042.3190373500299</v>
      </c>
      <c r="U84" s="82">
        <v>898.95458569539005</v>
      </c>
      <c r="V84" s="82">
        <v>773.70375082248904</v>
      </c>
      <c r="W84" s="82">
        <v>718.05100000000004</v>
      </c>
      <c r="X84" s="82">
        <v>561.79482383081097</v>
      </c>
      <c r="Y84" s="82">
        <v>545.360834764115</v>
      </c>
      <c r="Z84" s="82">
        <v>487.32066595999999</v>
      </c>
      <c r="AA84" s="82">
        <v>627.68271231799997</v>
      </c>
    </row>
    <row r="85" spans="1:27">
      <c r="D85" s="24" t="s">
        <v>76</v>
      </c>
      <c r="E85" s="58" t="s">
        <v>269</v>
      </c>
      <c r="F85" s="82">
        <v>107.3944</v>
      </c>
      <c r="G85" s="82">
        <v>111.82</v>
      </c>
      <c r="H85" s="82">
        <v>110.54600000000001</v>
      </c>
      <c r="I85" s="82">
        <v>85.004999999999995</v>
      </c>
      <c r="J85" s="82">
        <v>67.450999999999993</v>
      </c>
      <c r="K85" s="82">
        <v>71.245159999999998</v>
      </c>
      <c r="L85" s="82">
        <v>80.690110000000004</v>
      </c>
      <c r="M85" s="82">
        <v>59.172029999999999</v>
      </c>
      <c r="N85" s="82">
        <v>53.54757</v>
      </c>
      <c r="O85" s="82">
        <v>74.994640000000004</v>
      </c>
      <c r="P85" s="82">
        <v>101.337014161353</v>
      </c>
      <c r="Q85" s="82">
        <v>105.89189</v>
      </c>
      <c r="R85" s="82">
        <v>96.062148709355796</v>
      </c>
      <c r="S85" s="82">
        <v>85.706162000000006</v>
      </c>
      <c r="T85" s="82">
        <v>70.385093999999995</v>
      </c>
      <c r="U85" s="82">
        <v>102.1674498</v>
      </c>
      <c r="V85" s="82">
        <v>110.4360782</v>
      </c>
      <c r="W85" s="82">
        <v>96.408813591163195</v>
      </c>
      <c r="X85" s="82">
        <v>143.18693350000001</v>
      </c>
      <c r="Y85" s="82">
        <v>109.7485125</v>
      </c>
      <c r="Z85" s="82">
        <v>73.919209799999905</v>
      </c>
      <c r="AA85" s="82">
        <v>71.656504200999905</v>
      </c>
    </row>
    <row r="86" spans="1:27">
      <c r="D86" s="24" t="s">
        <v>43</v>
      </c>
      <c r="E86" s="58" t="s">
        <v>269</v>
      </c>
      <c r="F86" s="82">
        <v>2460.21947</v>
      </c>
      <c r="G86" s="82">
        <v>2697.8186099999998</v>
      </c>
      <c r="H86" s="82">
        <v>2242.90202</v>
      </c>
      <c r="I86" s="82">
        <v>2280.5709999999999</v>
      </c>
      <c r="J86" s="82">
        <v>2339.6770000000001</v>
      </c>
      <c r="K86" s="82">
        <v>2551.6779030245302</v>
      </c>
      <c r="L86" s="82">
        <v>2029.5440777307299</v>
      </c>
      <c r="M86" s="82">
        <v>2494.1701235734599</v>
      </c>
      <c r="N86" s="82">
        <v>2379.4705906691702</v>
      </c>
      <c r="O86" s="82">
        <v>1886.64192213047</v>
      </c>
      <c r="P86" s="82">
        <v>1971.5078252506801</v>
      </c>
      <c r="Q86" s="82">
        <v>2373.4685463599999</v>
      </c>
      <c r="R86" s="82">
        <v>2653.3192953033199</v>
      </c>
      <c r="S86" s="82">
        <v>2959.2000394413299</v>
      </c>
      <c r="T86" s="82">
        <v>3373.8457229344899</v>
      </c>
      <c r="U86" s="82">
        <v>3058.74789637196</v>
      </c>
      <c r="V86" s="82">
        <v>3052.4380219616201</v>
      </c>
      <c r="W86" s="82">
        <v>2710.6082158438599</v>
      </c>
      <c r="X86" s="82">
        <v>2674.9139606960598</v>
      </c>
      <c r="Y86" s="82">
        <v>2634.7643367618698</v>
      </c>
      <c r="Z86" s="82">
        <v>2490.0741682600001</v>
      </c>
      <c r="AA86" s="82">
        <v>2411.769706388</v>
      </c>
    </row>
    <row r="87" spans="1:27">
      <c r="C87" s="23" t="s">
        <v>43</v>
      </c>
      <c r="E87" s="61"/>
      <c r="F87" s="82"/>
      <c r="G87" s="82"/>
      <c r="H87" s="82"/>
      <c r="I87" s="82"/>
      <c r="J87" s="82"/>
      <c r="K87" s="82"/>
      <c r="L87" s="82"/>
      <c r="M87" s="82"/>
      <c r="N87" s="82"/>
      <c r="O87" s="82"/>
      <c r="P87" s="82"/>
      <c r="Q87" s="82"/>
      <c r="R87" s="82"/>
      <c r="S87" s="82"/>
      <c r="T87" s="82"/>
      <c r="U87" s="82"/>
      <c r="V87" s="82"/>
      <c r="W87" s="82"/>
      <c r="X87" s="82"/>
      <c r="Y87" s="82"/>
      <c r="Z87" s="82"/>
      <c r="AA87" s="82"/>
    </row>
    <row r="88" spans="1:27">
      <c r="D88" s="11" t="s">
        <v>274</v>
      </c>
      <c r="E88" s="58" t="s">
        <v>269</v>
      </c>
      <c r="F88" s="82">
        <v>1370.8510000000001</v>
      </c>
      <c r="G88" s="82">
        <v>1480.961</v>
      </c>
      <c r="H88" s="82">
        <v>1375.3116</v>
      </c>
      <c r="I88" s="82">
        <v>1493.568</v>
      </c>
      <c r="J88" s="82">
        <v>1555.3489999999999</v>
      </c>
      <c r="K88" s="82">
        <v>1823.90827302453</v>
      </c>
      <c r="L88" s="82">
        <v>1312.96845273073</v>
      </c>
      <c r="M88" s="82">
        <v>1849.0433235734599</v>
      </c>
      <c r="N88" s="82">
        <v>1590.5140906691699</v>
      </c>
      <c r="O88" s="82">
        <v>1391.6676421304701</v>
      </c>
      <c r="P88" s="82">
        <v>1466.1773010893201</v>
      </c>
      <c r="Q88" s="82">
        <v>1826.19698436</v>
      </c>
      <c r="R88" s="82">
        <v>2122.6504266676402</v>
      </c>
      <c r="S88" s="82">
        <v>2143.5955425821999</v>
      </c>
      <c r="T88" s="82">
        <v>2281.0924082511301</v>
      </c>
      <c r="U88" s="82">
        <v>2142.68986087657</v>
      </c>
      <c r="V88" s="82">
        <v>2168.2981929391399</v>
      </c>
      <c r="W88" s="82">
        <v>1896.1484022527</v>
      </c>
      <c r="X88" s="82">
        <v>1969.93220336525</v>
      </c>
      <c r="Y88" s="82">
        <v>1979.65498949776</v>
      </c>
      <c r="Z88" s="82">
        <v>2124.8112925</v>
      </c>
      <c r="AA88" s="82">
        <v>1712.430489869</v>
      </c>
    </row>
    <row r="89" spans="1:27">
      <c r="D89" s="24" t="s">
        <v>84</v>
      </c>
      <c r="E89" s="58" t="s">
        <v>269</v>
      </c>
      <c r="F89" s="82">
        <v>1043.3099199999999</v>
      </c>
      <c r="G89" s="82">
        <v>1113.40461</v>
      </c>
      <c r="H89" s="82">
        <v>757.04441999999995</v>
      </c>
      <c r="I89" s="82">
        <v>781.99800000000005</v>
      </c>
      <c r="J89" s="82">
        <v>716.87699999999995</v>
      </c>
      <c r="K89" s="82">
        <v>663.40547000000004</v>
      </c>
      <c r="L89" s="82">
        <v>801.83201499999996</v>
      </c>
      <c r="M89" s="82">
        <v>654.63248999999996</v>
      </c>
      <c r="N89" s="82">
        <v>1022.34493</v>
      </c>
      <c r="O89" s="82">
        <v>836.24973</v>
      </c>
      <c r="P89" s="82">
        <v>894.91495141078099</v>
      </c>
      <c r="Q89" s="82">
        <v>1146.7895473850299</v>
      </c>
      <c r="R89" s="82">
        <v>1296.90112406303</v>
      </c>
      <c r="S89" s="82">
        <v>1880.63106485913</v>
      </c>
      <c r="T89" s="82">
        <v>2045.1850656833601</v>
      </c>
      <c r="U89" s="82">
        <v>1903.22442569539</v>
      </c>
      <c r="V89" s="82">
        <v>1966.5904508224901</v>
      </c>
      <c r="W89" s="82">
        <v>1548.8108</v>
      </c>
      <c r="X89" s="82">
        <v>758.530403830811</v>
      </c>
      <c r="Y89" s="82">
        <v>1037.9928347641101</v>
      </c>
      <c r="Z89" s="82">
        <v>906.46366595999996</v>
      </c>
      <c r="AA89" s="82">
        <v>860.77288231799901</v>
      </c>
    </row>
    <row r="90" spans="1:27">
      <c r="D90" s="24" t="s">
        <v>76</v>
      </c>
      <c r="E90" s="58" t="s">
        <v>269</v>
      </c>
      <c r="F90" s="82">
        <v>107.3944</v>
      </c>
      <c r="G90" s="82">
        <v>111.82</v>
      </c>
      <c r="H90" s="82">
        <v>110.54600000000001</v>
      </c>
      <c r="I90" s="82">
        <v>85.004999999999995</v>
      </c>
      <c r="J90" s="82">
        <v>67.450999999999993</v>
      </c>
      <c r="K90" s="82">
        <v>71.245159999999998</v>
      </c>
      <c r="L90" s="82">
        <v>80.690110000000004</v>
      </c>
      <c r="M90" s="82">
        <v>59.172029999999999</v>
      </c>
      <c r="N90" s="82">
        <v>53.54757</v>
      </c>
      <c r="O90" s="82">
        <v>74.994640000000004</v>
      </c>
      <c r="P90" s="82">
        <v>101.337014161353</v>
      </c>
      <c r="Q90" s="82">
        <v>105.89189</v>
      </c>
      <c r="R90" s="82">
        <v>96.062148709355796</v>
      </c>
      <c r="S90" s="82">
        <v>85.706162000000006</v>
      </c>
      <c r="T90" s="82">
        <v>70.385093999999995</v>
      </c>
      <c r="U90" s="82">
        <v>102.1674498</v>
      </c>
      <c r="V90" s="82">
        <v>110.4360782</v>
      </c>
      <c r="W90" s="82">
        <v>96.408813591163195</v>
      </c>
      <c r="X90" s="82">
        <v>143.18693350000001</v>
      </c>
      <c r="Y90" s="82">
        <v>109.7485125</v>
      </c>
      <c r="Z90" s="82">
        <v>73.919209799999905</v>
      </c>
      <c r="AA90" s="82">
        <v>201.58900420099999</v>
      </c>
    </row>
    <row r="91" spans="1:27">
      <c r="D91" s="24" t="s">
        <v>43</v>
      </c>
      <c r="E91" s="58" t="s">
        <v>269</v>
      </c>
      <c r="F91" s="82">
        <v>2521.5553199999999</v>
      </c>
      <c r="G91" s="82">
        <v>2706.18561</v>
      </c>
      <c r="H91" s="82">
        <v>2242.90202</v>
      </c>
      <c r="I91" s="82">
        <v>2360.5709999999999</v>
      </c>
      <c r="J91" s="82">
        <v>2339.6770000000001</v>
      </c>
      <c r="K91" s="82">
        <v>2558.5589030245301</v>
      </c>
      <c r="L91" s="82">
        <v>2195.4905777307299</v>
      </c>
      <c r="M91" s="82">
        <v>2562.8478435734601</v>
      </c>
      <c r="N91" s="82">
        <v>2666.4065906691699</v>
      </c>
      <c r="O91" s="82">
        <v>2302.91201213047</v>
      </c>
      <c r="P91" s="82">
        <v>2462.4292666614601</v>
      </c>
      <c r="Q91" s="82">
        <v>3078.8784217450302</v>
      </c>
      <c r="R91" s="82">
        <v>3515.6136994400199</v>
      </c>
      <c r="S91" s="82">
        <v>4109.9327694413296</v>
      </c>
      <c r="T91" s="82">
        <v>4396.6625679344897</v>
      </c>
      <c r="U91" s="82">
        <v>4148.0817363719598</v>
      </c>
      <c r="V91" s="82">
        <v>4245.3247219616296</v>
      </c>
      <c r="W91" s="82">
        <v>3541.3680158438601</v>
      </c>
      <c r="X91" s="82">
        <v>2871.6495406960598</v>
      </c>
      <c r="Y91" s="82">
        <v>3127.3963367618699</v>
      </c>
      <c r="Z91" s="82">
        <v>3105.19416826</v>
      </c>
      <c r="AA91" s="82">
        <v>2774.7923763879999</v>
      </c>
    </row>
    <row r="92" spans="1:27">
      <c r="A92" t="s">
        <v>2</v>
      </c>
      <c r="E92" s="61"/>
      <c r="F92" s="82"/>
      <c r="G92" s="82"/>
      <c r="H92" s="82"/>
      <c r="I92" s="82"/>
      <c r="J92" s="82"/>
      <c r="K92" s="82"/>
      <c r="L92" s="82"/>
      <c r="M92" s="82"/>
      <c r="N92" s="82"/>
      <c r="O92" s="82"/>
      <c r="P92" s="82"/>
      <c r="Q92" s="82"/>
      <c r="R92" s="82"/>
      <c r="S92" s="82"/>
      <c r="T92" s="82"/>
      <c r="U92" s="82"/>
      <c r="V92" s="82"/>
      <c r="W92" s="82"/>
      <c r="X92" s="82"/>
      <c r="Y92" s="82"/>
      <c r="Z92" s="82"/>
      <c r="AA92" s="82"/>
    </row>
    <row r="93" spans="1:27">
      <c r="B93" s="22" t="s">
        <v>273</v>
      </c>
      <c r="E93" s="61"/>
      <c r="F93" s="82"/>
      <c r="G93" s="82"/>
      <c r="H93" s="82"/>
      <c r="I93" s="82"/>
      <c r="J93" s="82"/>
      <c r="K93" s="82"/>
      <c r="L93" s="82"/>
      <c r="M93" s="82"/>
      <c r="N93" s="82"/>
      <c r="O93" s="82"/>
      <c r="P93" s="82"/>
      <c r="Q93" s="82"/>
      <c r="R93" s="82"/>
      <c r="S93" s="82"/>
      <c r="T93" s="82"/>
      <c r="U93" s="82"/>
      <c r="V93" s="82"/>
      <c r="W93" s="82"/>
      <c r="X93" s="82"/>
    </row>
    <row r="94" spans="1:27">
      <c r="C94" s="23" t="s">
        <v>82</v>
      </c>
      <c r="E94" s="61"/>
      <c r="F94" s="82"/>
      <c r="G94" s="82"/>
      <c r="H94" s="82"/>
      <c r="I94" s="82"/>
      <c r="J94" s="82"/>
      <c r="K94" s="82"/>
      <c r="L94" s="82"/>
      <c r="M94" s="82"/>
      <c r="N94" s="82"/>
      <c r="O94" s="82"/>
      <c r="P94" s="82"/>
      <c r="Q94" s="82"/>
      <c r="R94" s="82"/>
      <c r="S94" s="82"/>
      <c r="T94" s="82"/>
      <c r="U94" s="82"/>
      <c r="V94" s="82"/>
      <c r="W94" s="82"/>
      <c r="X94" s="82"/>
    </row>
    <row r="95" spans="1:27">
      <c r="D95" s="11" t="s">
        <v>274</v>
      </c>
      <c r="E95" s="58" t="s">
        <v>269</v>
      </c>
      <c r="F95" s="82">
        <v>323.35986694871201</v>
      </c>
      <c r="G95" s="82">
        <v>299.23234617378802</v>
      </c>
      <c r="H95" s="82">
        <v>267.35994089955</v>
      </c>
      <c r="I95" s="82">
        <v>275.59087632712902</v>
      </c>
      <c r="J95" s="82">
        <v>249.02718788254799</v>
      </c>
      <c r="K95" s="82">
        <v>297.74129989063101</v>
      </c>
      <c r="L95" s="82">
        <v>243.17317641424</v>
      </c>
      <c r="M95" s="82">
        <v>225.88183594996701</v>
      </c>
      <c r="N95" s="82">
        <v>190.299232365591</v>
      </c>
      <c r="O95" s="82">
        <v>227.401232365591</v>
      </c>
      <c r="P95" s="82">
        <v>200.535</v>
      </c>
      <c r="Q95" s="82">
        <v>134.459</v>
      </c>
      <c r="R95" s="82">
        <v>170.51400000000001</v>
      </c>
      <c r="S95" s="82">
        <v>173.88499999999999</v>
      </c>
      <c r="T95" s="82">
        <v>197.45849999999999</v>
      </c>
      <c r="U95" s="82">
        <v>130.84186910711799</v>
      </c>
      <c r="V95" s="82">
        <v>134.72450000000001</v>
      </c>
      <c r="W95" s="82">
        <v>143.4795</v>
      </c>
      <c r="X95" s="82">
        <v>156.99549999999999</v>
      </c>
      <c r="Y95" s="82">
        <v>127.060656635827</v>
      </c>
      <c r="Z95" s="82">
        <v>103.91800000000001</v>
      </c>
      <c r="AA95" s="82">
        <v>37.579279999999997</v>
      </c>
    </row>
    <row r="96" spans="1:27">
      <c r="D96" s="24" t="s">
        <v>84</v>
      </c>
      <c r="E96" s="58" t="s">
        <v>269</v>
      </c>
      <c r="F96" s="82">
        <v>147.82408000000001</v>
      </c>
      <c r="G96" s="82">
        <v>172.423</v>
      </c>
      <c r="H96" s="82">
        <v>149.46799999999999</v>
      </c>
      <c r="I96" s="82">
        <v>152.45400000000001</v>
      </c>
      <c r="J96" s="82">
        <v>163.71299999999999</v>
      </c>
      <c r="K96" s="82">
        <v>168.845</v>
      </c>
      <c r="L96" s="82">
        <v>167.80500000000001</v>
      </c>
      <c r="M96" s="82">
        <v>148.29599999999999</v>
      </c>
      <c r="N96" s="82">
        <v>173.08799999999999</v>
      </c>
      <c r="O96" s="82">
        <v>140.08799999999999</v>
      </c>
      <c r="P96" s="82">
        <v>148.91976</v>
      </c>
      <c r="Q96" s="82">
        <v>138.458</v>
      </c>
      <c r="R96" s="82">
        <v>90.936000000000007</v>
      </c>
      <c r="S96" s="82">
        <v>121.973</v>
      </c>
      <c r="T96" s="82">
        <v>112.889</v>
      </c>
      <c r="U96" s="82">
        <v>123.416</v>
      </c>
      <c r="V96" s="82">
        <v>130.07</v>
      </c>
      <c r="W96" s="82">
        <v>192.80099999999999</v>
      </c>
      <c r="X96" s="82">
        <v>135.25299999999999</v>
      </c>
      <c r="Y96" s="82">
        <v>118.91660035204799</v>
      </c>
      <c r="Z96" s="82">
        <v>96.722999999999999</v>
      </c>
      <c r="AA96" s="82">
        <v>50.100999999999999</v>
      </c>
    </row>
    <row r="97" spans="3:27">
      <c r="D97" s="24" t="s">
        <v>76</v>
      </c>
      <c r="E97" s="58" t="s">
        <v>269</v>
      </c>
      <c r="F97" s="82">
        <v>80.102999999999994</v>
      </c>
      <c r="G97" s="82">
        <v>66.183999999999997</v>
      </c>
      <c r="H97" s="82">
        <v>70.891999999999996</v>
      </c>
      <c r="I97" s="82">
        <v>86.209000000000003</v>
      </c>
      <c r="J97" s="82">
        <v>115.732558139535</v>
      </c>
      <c r="K97" s="82">
        <v>77.995000000000005</v>
      </c>
      <c r="L97" s="82">
        <v>83.557000000000002</v>
      </c>
      <c r="M97" s="82">
        <v>62.414000000000001</v>
      </c>
      <c r="N97" s="82">
        <v>104.95399999999999</v>
      </c>
      <c r="O97" s="82">
        <v>131.053</v>
      </c>
      <c r="P97" s="82">
        <v>101.538</v>
      </c>
      <c r="Q97" s="82">
        <v>70.501000000000005</v>
      </c>
      <c r="R97" s="82">
        <v>69.441000000000003</v>
      </c>
      <c r="S97" s="82">
        <v>59.247999999999998</v>
      </c>
      <c r="T97" s="82">
        <v>85.03</v>
      </c>
      <c r="U97" s="82">
        <v>111.462</v>
      </c>
      <c r="V97" s="82">
        <v>93.188000000000002</v>
      </c>
      <c r="W97" s="82">
        <v>115.23</v>
      </c>
      <c r="X97" s="82">
        <v>122.70347</v>
      </c>
      <c r="Y97" s="82">
        <v>103.237915147165</v>
      </c>
      <c r="Z97" s="82">
        <v>134.036</v>
      </c>
      <c r="AA97" s="82">
        <v>111.52500000000001</v>
      </c>
    </row>
    <row r="98" spans="3:27">
      <c r="D98" s="24" t="s">
        <v>43</v>
      </c>
      <c r="E98" s="58" t="s">
        <v>269</v>
      </c>
      <c r="F98" s="82">
        <v>551.28694694871206</v>
      </c>
      <c r="G98" s="82">
        <v>537.83934617378702</v>
      </c>
      <c r="H98" s="82">
        <v>487.71994089955001</v>
      </c>
      <c r="I98" s="82">
        <v>514.25387632713</v>
      </c>
      <c r="J98" s="82">
        <v>528.47274602208302</v>
      </c>
      <c r="K98" s="82">
        <v>544.58129989063104</v>
      </c>
      <c r="L98" s="82">
        <v>494.53517641424003</v>
      </c>
      <c r="M98" s="82">
        <v>436.59183594996699</v>
      </c>
      <c r="N98" s="82">
        <v>468.341232365591</v>
      </c>
      <c r="O98" s="82">
        <v>498.54223236559102</v>
      </c>
      <c r="P98" s="82">
        <v>450.99275999999998</v>
      </c>
      <c r="Q98" s="82">
        <v>343.41800000000001</v>
      </c>
      <c r="R98" s="82">
        <v>330.89100000000002</v>
      </c>
      <c r="S98" s="82">
        <v>355.10599999999999</v>
      </c>
      <c r="T98" s="82">
        <v>395.3775</v>
      </c>
      <c r="U98" s="82">
        <v>365.71986910711797</v>
      </c>
      <c r="V98" s="82">
        <v>357.98250000000002</v>
      </c>
      <c r="W98" s="82">
        <v>451.51049999999998</v>
      </c>
      <c r="X98" s="82">
        <v>414.95197000000002</v>
      </c>
      <c r="Y98" s="82">
        <v>349.21517213504001</v>
      </c>
      <c r="Z98" s="82">
        <v>334.67700000000002</v>
      </c>
      <c r="AA98" s="82">
        <v>199.20527999999999</v>
      </c>
    </row>
    <row r="99" spans="3:27">
      <c r="C99" s="22" t="s">
        <v>390</v>
      </c>
      <c r="E99" s="61"/>
      <c r="F99" s="82"/>
      <c r="G99" s="82"/>
      <c r="H99" s="82"/>
      <c r="I99" s="82"/>
      <c r="J99" s="82"/>
      <c r="K99" s="82"/>
      <c r="L99" s="82"/>
      <c r="M99" s="82"/>
      <c r="N99" s="82"/>
      <c r="O99" s="82"/>
      <c r="P99" s="82"/>
      <c r="Q99" s="82"/>
      <c r="R99" s="82"/>
      <c r="S99" s="82"/>
      <c r="T99" s="82"/>
      <c r="U99" s="82"/>
      <c r="V99" s="82"/>
      <c r="W99" s="82"/>
      <c r="X99" s="82"/>
      <c r="Y99" s="82"/>
      <c r="Z99" s="82"/>
      <c r="AA99" s="82"/>
    </row>
    <row r="100" spans="3:27">
      <c r="D100" s="11" t="s">
        <v>274</v>
      </c>
      <c r="E100" s="58" t="s">
        <v>269</v>
      </c>
      <c r="F100" s="82">
        <v>0.88100000000000001</v>
      </c>
      <c r="G100" s="82">
        <v>0.84099999999999997</v>
      </c>
      <c r="H100" s="82">
        <v>0.73599999999999999</v>
      </c>
      <c r="I100" s="82">
        <v>0.46700000000000003</v>
      </c>
      <c r="J100" s="82">
        <v>8.0000000000000002E-3</v>
      </c>
      <c r="K100" s="82">
        <v>0.88700000000000001</v>
      </c>
      <c r="L100" s="82">
        <v>1.681</v>
      </c>
      <c r="M100" s="82">
        <v>1.2210000000000001</v>
      </c>
      <c r="N100" s="82">
        <v>0.624</v>
      </c>
      <c r="O100" s="82">
        <v>0.35499999999999998</v>
      </c>
      <c r="P100" s="82">
        <v>5.9960000000000004</v>
      </c>
      <c r="Q100" s="82">
        <v>0.318</v>
      </c>
      <c r="R100" s="82">
        <v>1.556</v>
      </c>
      <c r="S100" s="82">
        <v>0</v>
      </c>
      <c r="T100" s="82">
        <v>1.0620000000000001</v>
      </c>
      <c r="U100" s="82">
        <v>0</v>
      </c>
      <c r="V100" s="82">
        <v>0</v>
      </c>
      <c r="W100" s="82">
        <v>0</v>
      </c>
      <c r="X100" s="82">
        <v>0.78300000000000003</v>
      </c>
      <c r="Y100" s="82">
        <v>0.79866000000000004</v>
      </c>
      <c r="Z100" s="82">
        <v>0</v>
      </c>
      <c r="AA100" s="82">
        <v>0</v>
      </c>
    </row>
    <row r="101" spans="3:27">
      <c r="D101" s="24" t="s">
        <v>84</v>
      </c>
      <c r="E101" s="58" t="s">
        <v>269</v>
      </c>
      <c r="F101" s="82">
        <v>374.92500000000001</v>
      </c>
      <c r="G101" s="82">
        <v>798</v>
      </c>
      <c r="H101" s="82">
        <v>1502</v>
      </c>
      <c r="I101" s="82">
        <v>2135.7710000000002</v>
      </c>
      <c r="J101" s="82">
        <v>2498.3119999999999</v>
      </c>
      <c r="K101" s="82">
        <v>2253.7040000000002</v>
      </c>
      <c r="L101" s="82">
        <v>2587.8310000000001</v>
      </c>
      <c r="M101" s="82">
        <v>2637.4830000000002</v>
      </c>
      <c r="N101" s="82">
        <v>3059.3440000000001</v>
      </c>
      <c r="O101" s="82">
        <v>2542.145</v>
      </c>
      <c r="P101" s="82">
        <v>2765.6172700000002</v>
      </c>
      <c r="Q101" s="82">
        <v>2908.0367500000002</v>
      </c>
      <c r="R101" s="82">
        <v>3374.7691433333298</v>
      </c>
      <c r="S101" s="82">
        <v>3699.7028088349498</v>
      </c>
      <c r="T101" s="82">
        <v>3618.76163285658</v>
      </c>
      <c r="U101" s="82">
        <v>3331.2931800000001</v>
      </c>
      <c r="V101" s="82">
        <v>3053.0896400000001</v>
      </c>
      <c r="W101" s="82">
        <v>2202.0574000000001</v>
      </c>
      <c r="X101" s="82">
        <v>1793.0799500000001</v>
      </c>
      <c r="Y101" s="82">
        <v>2219.4281304347801</v>
      </c>
      <c r="Z101" s="82">
        <v>2182.6990799999999</v>
      </c>
      <c r="AA101" s="82">
        <v>1879.12788</v>
      </c>
    </row>
    <row r="102" spans="3:27">
      <c r="D102" s="24" t="s">
        <v>76</v>
      </c>
      <c r="E102" s="58" t="s">
        <v>269</v>
      </c>
      <c r="F102" s="82">
        <v>5.7000000000000002E-2</v>
      </c>
      <c r="G102" s="82">
        <v>1.7000000000000001E-2</v>
      </c>
      <c r="H102" s="82">
        <v>0.14199999999999999</v>
      </c>
      <c r="I102" s="82">
        <v>2.4E-2</v>
      </c>
      <c r="J102" s="82">
        <v>2E-3</v>
      </c>
      <c r="K102" s="82">
        <v>4.0000000000000001E-3</v>
      </c>
      <c r="L102" s="82">
        <v>0.01</v>
      </c>
      <c r="M102" s="82">
        <v>7.0000000000000001E-3</v>
      </c>
      <c r="N102" s="82">
        <v>2.5000000000000001E-2</v>
      </c>
      <c r="O102" s="82">
        <v>0.68899999999999995</v>
      </c>
      <c r="P102" s="82">
        <v>0</v>
      </c>
      <c r="Q102" s="82">
        <v>2.2709999999999999</v>
      </c>
      <c r="R102" s="82">
        <v>0</v>
      </c>
      <c r="S102" s="82">
        <v>0</v>
      </c>
      <c r="T102" s="82">
        <v>0</v>
      </c>
      <c r="U102" s="82">
        <v>0</v>
      </c>
      <c r="V102" s="82">
        <v>0</v>
      </c>
      <c r="W102" s="82">
        <v>19.722000000000001</v>
      </c>
      <c r="X102" s="82">
        <v>25.826000000000001</v>
      </c>
      <c r="Y102" s="82">
        <v>26.34252</v>
      </c>
      <c r="Z102" s="82">
        <v>19.512</v>
      </c>
      <c r="AA102" s="82">
        <v>42.136879999999998</v>
      </c>
    </row>
    <row r="103" spans="3:27">
      <c r="D103" s="24" t="s">
        <v>43</v>
      </c>
      <c r="E103" s="58" t="s">
        <v>269</v>
      </c>
      <c r="F103" s="82">
        <v>375.863</v>
      </c>
      <c r="G103" s="82">
        <v>798.85799999999995</v>
      </c>
      <c r="H103" s="82">
        <v>1502.8779999999999</v>
      </c>
      <c r="I103" s="82">
        <v>2136.2620000000002</v>
      </c>
      <c r="J103" s="82">
        <v>2498.3220000000001</v>
      </c>
      <c r="K103" s="82">
        <v>2254.5949999999998</v>
      </c>
      <c r="L103" s="82">
        <v>2589.5219999999999</v>
      </c>
      <c r="M103" s="82">
        <v>2638.7109999999998</v>
      </c>
      <c r="N103" s="82">
        <v>3059.9929999999999</v>
      </c>
      <c r="O103" s="82">
        <v>2543.1889999999999</v>
      </c>
      <c r="P103" s="82">
        <v>2771.6132699999998</v>
      </c>
      <c r="Q103" s="82">
        <v>2910.6257500000002</v>
      </c>
      <c r="R103" s="82">
        <v>3376.3251433333298</v>
      </c>
      <c r="S103" s="82">
        <v>3699.7028088349498</v>
      </c>
      <c r="T103" s="82">
        <v>3619.8236328565799</v>
      </c>
      <c r="U103" s="82">
        <v>3331.2931800000001</v>
      </c>
      <c r="V103" s="82">
        <v>3053.0896400000001</v>
      </c>
      <c r="W103" s="82">
        <v>2221.7793999999999</v>
      </c>
      <c r="X103" s="82">
        <v>1819.68895</v>
      </c>
      <c r="Y103" s="82">
        <v>2246.5693104347802</v>
      </c>
      <c r="Z103" s="82">
        <v>2202.21108</v>
      </c>
      <c r="AA103" s="82">
        <v>1921.26476</v>
      </c>
    </row>
    <row r="104" spans="3:27">
      <c r="C104" s="23" t="s">
        <v>42</v>
      </c>
      <c r="E104" s="61"/>
      <c r="F104" s="82"/>
      <c r="G104" s="82"/>
      <c r="H104" s="82"/>
      <c r="I104" s="82"/>
      <c r="J104" s="82"/>
      <c r="K104" s="82"/>
      <c r="L104" s="82"/>
      <c r="M104" s="82"/>
      <c r="N104" s="82"/>
      <c r="O104" s="82"/>
      <c r="P104" s="82"/>
      <c r="Q104" s="82"/>
      <c r="R104" s="82"/>
      <c r="S104" s="82"/>
      <c r="T104" s="82"/>
      <c r="U104" s="82"/>
      <c r="V104" s="82"/>
      <c r="W104" s="82"/>
      <c r="X104" s="82"/>
      <c r="Y104" s="82"/>
      <c r="Z104" s="82"/>
      <c r="AA104" s="82"/>
    </row>
    <row r="105" spans="3:27">
      <c r="D105" s="11" t="s">
        <v>274</v>
      </c>
      <c r="E105" s="58" t="s">
        <v>269</v>
      </c>
      <c r="F105" s="82">
        <v>522.58199999999999</v>
      </c>
      <c r="G105" s="82">
        <v>472.49</v>
      </c>
      <c r="H105" s="82">
        <v>522.33600000000001</v>
      </c>
      <c r="I105" s="82">
        <v>620.66039999999998</v>
      </c>
      <c r="J105" s="82">
        <v>641.71254699999997</v>
      </c>
      <c r="K105" s="82">
        <v>576.91899999999998</v>
      </c>
      <c r="L105" s="82">
        <v>512.67700000000002</v>
      </c>
      <c r="M105" s="82">
        <v>570.55600000000004</v>
      </c>
      <c r="N105" s="82">
        <v>555.63699999999994</v>
      </c>
      <c r="O105" s="82">
        <v>479.017</v>
      </c>
      <c r="P105" s="82">
        <v>434.57400000000001</v>
      </c>
      <c r="Q105" s="82">
        <v>534.79499999999996</v>
      </c>
      <c r="R105" s="82">
        <v>603.529</v>
      </c>
      <c r="S105" s="82">
        <v>545.10299999999995</v>
      </c>
      <c r="T105" s="82">
        <v>518.03309000000002</v>
      </c>
      <c r="U105" s="82">
        <v>665.28031944671102</v>
      </c>
      <c r="V105" s="82">
        <v>664.09999801814001</v>
      </c>
      <c r="W105" s="82">
        <v>697.16031944671101</v>
      </c>
      <c r="X105" s="82">
        <v>610.96</v>
      </c>
      <c r="Y105" s="82">
        <v>623.17920000000004</v>
      </c>
      <c r="Z105" s="82">
        <v>502.29983600000003</v>
      </c>
      <c r="AA105" s="82">
        <v>473.47</v>
      </c>
    </row>
    <row r="106" spans="3:27">
      <c r="D106" s="24" t="s">
        <v>84</v>
      </c>
      <c r="E106" s="58" t="s">
        <v>269</v>
      </c>
      <c r="F106" s="82">
        <v>344.17</v>
      </c>
      <c r="G106" s="82">
        <v>467.76900000000001</v>
      </c>
      <c r="H106" s="82">
        <v>304.86700000000002</v>
      </c>
      <c r="I106" s="82">
        <v>259.48</v>
      </c>
      <c r="J106" s="82">
        <v>304.53303</v>
      </c>
      <c r="K106" s="82">
        <v>383.21499999999997</v>
      </c>
      <c r="L106" s="82">
        <v>463.35899999999998</v>
      </c>
      <c r="M106" s="82">
        <v>299.59100000000001</v>
      </c>
      <c r="N106" s="82">
        <v>343.09199999999998</v>
      </c>
      <c r="O106" s="82">
        <v>345.80099999999999</v>
      </c>
      <c r="P106" s="82">
        <v>346.94099999999997</v>
      </c>
      <c r="Q106" s="82">
        <v>308.16199999999998</v>
      </c>
      <c r="R106" s="82">
        <v>345.70499999999998</v>
      </c>
      <c r="S106" s="82">
        <v>345.07600000000002</v>
      </c>
      <c r="T106" s="82">
        <v>441.83100000000002</v>
      </c>
      <c r="U106" s="82">
        <v>173.4</v>
      </c>
      <c r="V106" s="82">
        <v>390.31700000000001</v>
      </c>
      <c r="W106" s="82">
        <v>408.46600000000001</v>
      </c>
      <c r="X106" s="82">
        <v>456.03300000000002</v>
      </c>
      <c r="Y106" s="82">
        <v>477.77942000000002</v>
      </c>
      <c r="Z106" s="82">
        <v>239.155</v>
      </c>
      <c r="AA106" s="82">
        <v>184.06700000000001</v>
      </c>
    </row>
    <row r="107" spans="3:27">
      <c r="D107" s="24" t="s">
        <v>76</v>
      </c>
      <c r="E107" s="58" t="s">
        <v>269</v>
      </c>
      <c r="F107" s="82">
        <v>33.081000000000003</v>
      </c>
      <c r="G107" s="82">
        <v>32.881999999999998</v>
      </c>
      <c r="H107" s="82">
        <v>38.116999999999997</v>
      </c>
      <c r="I107" s="82">
        <v>39.034999999999997</v>
      </c>
      <c r="J107" s="82">
        <v>33.814999999999998</v>
      </c>
      <c r="K107" s="82">
        <v>37.011000000000003</v>
      </c>
      <c r="L107" s="82">
        <v>33.292999999999999</v>
      </c>
      <c r="M107" s="82">
        <v>31.306999999999999</v>
      </c>
      <c r="N107" s="82">
        <v>25.238</v>
      </c>
      <c r="O107" s="82">
        <v>18.59</v>
      </c>
      <c r="P107" s="82">
        <v>19.43</v>
      </c>
      <c r="Q107" s="82">
        <v>13.37</v>
      </c>
      <c r="R107" s="82">
        <v>19.338000000000001</v>
      </c>
      <c r="S107" s="82">
        <v>22.119</v>
      </c>
      <c r="T107" s="82">
        <v>19.870999999999999</v>
      </c>
      <c r="U107" s="82">
        <v>9.9209999999999994</v>
      </c>
      <c r="V107" s="82">
        <v>22.965</v>
      </c>
      <c r="W107" s="82">
        <v>74.888000000000005</v>
      </c>
      <c r="X107" s="82">
        <v>50.302</v>
      </c>
      <c r="Y107" s="82">
        <v>33.382559999999998</v>
      </c>
      <c r="Z107" s="82">
        <v>28.895</v>
      </c>
      <c r="AA107" s="82">
        <v>8.2810000000000006</v>
      </c>
    </row>
    <row r="108" spans="3:27">
      <c r="D108" s="24" t="s">
        <v>43</v>
      </c>
      <c r="E108" s="58" t="s">
        <v>269</v>
      </c>
      <c r="F108" s="82">
        <v>899.83299999999997</v>
      </c>
      <c r="G108" s="82">
        <v>973.14099999999996</v>
      </c>
      <c r="H108" s="82">
        <v>865.32</v>
      </c>
      <c r="I108" s="82">
        <v>919.17539999999997</v>
      </c>
      <c r="J108" s="82">
        <v>980.06057699999997</v>
      </c>
      <c r="K108" s="82">
        <v>997.14499999999998</v>
      </c>
      <c r="L108" s="82">
        <v>1009.329</v>
      </c>
      <c r="M108" s="82">
        <v>901.45399999999995</v>
      </c>
      <c r="N108" s="82">
        <v>923.96699999999998</v>
      </c>
      <c r="O108" s="82">
        <v>843.40800000000002</v>
      </c>
      <c r="P108" s="82">
        <v>800.94500000000005</v>
      </c>
      <c r="Q108" s="82">
        <v>856.327</v>
      </c>
      <c r="R108" s="82">
        <v>968.572</v>
      </c>
      <c r="S108" s="82">
        <v>912.298</v>
      </c>
      <c r="T108" s="82">
        <v>979.73509000000001</v>
      </c>
      <c r="U108" s="82">
        <v>848.60131944671105</v>
      </c>
      <c r="V108" s="82">
        <v>1077.3819980181399</v>
      </c>
      <c r="W108" s="82">
        <v>1180.51431944671</v>
      </c>
      <c r="X108" s="82">
        <v>1117.2950000000001</v>
      </c>
      <c r="Y108" s="82">
        <v>1134.3411799999999</v>
      </c>
      <c r="Z108" s="82">
        <v>770.34983599999998</v>
      </c>
      <c r="AA108" s="82">
        <v>665.81799999999998</v>
      </c>
    </row>
    <row r="109" spans="3:27">
      <c r="C109" s="23" t="s">
        <v>43</v>
      </c>
      <c r="E109" s="61"/>
      <c r="F109" s="82"/>
      <c r="G109" s="82"/>
      <c r="H109" s="82"/>
      <c r="I109" s="82"/>
      <c r="J109" s="82"/>
      <c r="K109" s="82"/>
      <c r="L109" s="82"/>
      <c r="M109" s="82"/>
      <c r="N109" s="82"/>
      <c r="O109" s="82"/>
      <c r="P109" s="82"/>
      <c r="Q109" s="82"/>
      <c r="R109" s="82"/>
      <c r="S109" s="82"/>
      <c r="T109" s="82"/>
      <c r="U109" s="82"/>
      <c r="V109" s="82"/>
      <c r="W109" s="82"/>
      <c r="X109" s="82"/>
      <c r="Y109" s="82"/>
      <c r="Z109" s="82"/>
      <c r="AA109" s="82"/>
    </row>
    <row r="110" spans="3:27">
      <c r="D110" s="11" t="s">
        <v>274</v>
      </c>
      <c r="E110" s="58" t="s">
        <v>269</v>
      </c>
      <c r="F110" s="82">
        <v>846.82286694871198</v>
      </c>
      <c r="G110" s="82">
        <v>772.56334617378798</v>
      </c>
      <c r="H110" s="82">
        <v>790.43194089955</v>
      </c>
      <c r="I110" s="82">
        <v>896.71827632712905</v>
      </c>
      <c r="J110" s="82">
        <v>890.747734882548</v>
      </c>
      <c r="K110" s="82">
        <v>875.54729989063105</v>
      </c>
      <c r="L110" s="82">
        <v>757.53117641424001</v>
      </c>
      <c r="M110" s="82">
        <v>797.65883594996797</v>
      </c>
      <c r="N110" s="82">
        <v>746.56023236559099</v>
      </c>
      <c r="O110" s="82">
        <v>706.77323236559096</v>
      </c>
      <c r="P110" s="82">
        <v>641.10500000000002</v>
      </c>
      <c r="Q110" s="82">
        <v>669.572</v>
      </c>
      <c r="R110" s="82">
        <v>775.59900000000005</v>
      </c>
      <c r="S110" s="82">
        <v>718.98800000000006</v>
      </c>
      <c r="T110" s="82">
        <v>716.55358999999999</v>
      </c>
      <c r="U110" s="82">
        <v>796.12218855382901</v>
      </c>
      <c r="V110" s="82">
        <v>798.82449801814005</v>
      </c>
      <c r="W110" s="82">
        <v>840.63981944671104</v>
      </c>
      <c r="X110" s="82">
        <v>768.73850000000004</v>
      </c>
      <c r="Y110" s="82">
        <v>751.03851663582702</v>
      </c>
      <c r="Z110" s="82">
        <v>606.21783600000003</v>
      </c>
      <c r="AA110" s="82">
        <v>511.04928000000001</v>
      </c>
    </row>
    <row r="111" spans="3:27">
      <c r="D111" s="24" t="s">
        <v>84</v>
      </c>
      <c r="E111" s="58" t="s">
        <v>269</v>
      </c>
      <c r="F111" s="82">
        <v>866.91908000000001</v>
      </c>
      <c r="G111" s="82">
        <v>1438.192</v>
      </c>
      <c r="H111" s="82">
        <v>1956.335</v>
      </c>
      <c r="I111" s="82">
        <v>2547.7049999999999</v>
      </c>
      <c r="J111" s="82">
        <v>2966.5580300000001</v>
      </c>
      <c r="K111" s="82">
        <v>2805.7640000000001</v>
      </c>
      <c r="L111" s="82">
        <v>3218.9949999999999</v>
      </c>
      <c r="M111" s="82">
        <v>3085.37</v>
      </c>
      <c r="N111" s="82">
        <v>3575.5239999999999</v>
      </c>
      <c r="O111" s="82">
        <v>3028.0340000000001</v>
      </c>
      <c r="P111" s="82">
        <v>3261.4780300000002</v>
      </c>
      <c r="Q111" s="82">
        <v>3354.6567500000001</v>
      </c>
      <c r="R111" s="82">
        <v>3811.4101433333299</v>
      </c>
      <c r="S111" s="82">
        <v>4166.7518088349498</v>
      </c>
      <c r="T111" s="82">
        <v>4173.4816328565803</v>
      </c>
      <c r="U111" s="82">
        <v>3628.1091799999999</v>
      </c>
      <c r="V111" s="82">
        <v>3573.4766399999999</v>
      </c>
      <c r="W111" s="82">
        <v>2803.3244</v>
      </c>
      <c r="X111" s="82">
        <v>2384.3659499999999</v>
      </c>
      <c r="Y111" s="82">
        <v>2816.1241507868299</v>
      </c>
      <c r="Z111" s="82">
        <v>2518.57708</v>
      </c>
      <c r="AA111" s="82">
        <v>2113.2958800000001</v>
      </c>
    </row>
    <row r="112" spans="3:27">
      <c r="D112" s="24" t="s">
        <v>76</v>
      </c>
      <c r="E112" s="58" t="s">
        <v>269</v>
      </c>
      <c r="F112" s="82">
        <v>113.241</v>
      </c>
      <c r="G112" s="82">
        <v>99.082999999999998</v>
      </c>
      <c r="H112" s="82">
        <v>109.151</v>
      </c>
      <c r="I112" s="82">
        <v>125.268</v>
      </c>
      <c r="J112" s="82">
        <v>149.54955813953501</v>
      </c>
      <c r="K112" s="82">
        <v>115.01</v>
      </c>
      <c r="L112" s="82">
        <v>116.86</v>
      </c>
      <c r="M112" s="82">
        <v>93.727999999999994</v>
      </c>
      <c r="N112" s="82">
        <v>130.21700000000001</v>
      </c>
      <c r="O112" s="82">
        <v>150.33199999999999</v>
      </c>
      <c r="P112" s="82">
        <v>120.968</v>
      </c>
      <c r="Q112" s="82">
        <v>86.141999999999996</v>
      </c>
      <c r="R112" s="82">
        <v>88.778999999999996</v>
      </c>
      <c r="S112" s="82">
        <v>81.367000000000004</v>
      </c>
      <c r="T112" s="82">
        <v>104.901</v>
      </c>
      <c r="U112" s="82">
        <v>121.383</v>
      </c>
      <c r="V112" s="82">
        <v>116.15300000000001</v>
      </c>
      <c r="W112" s="82">
        <v>209.84</v>
      </c>
      <c r="X112" s="82">
        <v>198.83147</v>
      </c>
      <c r="Y112" s="82">
        <v>162.962995147165</v>
      </c>
      <c r="Z112" s="82">
        <v>182.44300000000001</v>
      </c>
      <c r="AA112" s="82">
        <v>161.94288</v>
      </c>
    </row>
    <row r="113" spans="1:27">
      <c r="D113" s="24" t="s">
        <v>43</v>
      </c>
      <c r="E113" s="58" t="s">
        <v>269</v>
      </c>
      <c r="F113" s="82">
        <v>1826.9829469487099</v>
      </c>
      <c r="G113" s="82">
        <v>2309.8383461737899</v>
      </c>
      <c r="H113" s="82">
        <v>2855.9179408995501</v>
      </c>
      <c r="I113" s="82">
        <v>3569.6912763271298</v>
      </c>
      <c r="J113" s="82">
        <v>4006.85532302208</v>
      </c>
      <c r="K113" s="82">
        <v>3796.3212998906301</v>
      </c>
      <c r="L113" s="82">
        <v>4093.3861764142398</v>
      </c>
      <c r="M113" s="82">
        <v>3976.7568359499701</v>
      </c>
      <c r="N113" s="82">
        <v>4452.3012323655903</v>
      </c>
      <c r="O113" s="82">
        <v>3885.13923236559</v>
      </c>
      <c r="P113" s="82">
        <v>4023.5510300000001</v>
      </c>
      <c r="Q113" s="82">
        <v>4110.37075</v>
      </c>
      <c r="R113" s="82">
        <v>4675.7881433333296</v>
      </c>
      <c r="S113" s="82">
        <v>4967.1068088349502</v>
      </c>
      <c r="T113" s="82">
        <v>4994.9362228565797</v>
      </c>
      <c r="U113" s="82">
        <v>4545.61436855383</v>
      </c>
      <c r="V113" s="82">
        <v>4488.4541380181399</v>
      </c>
      <c r="W113" s="82">
        <v>3853.8042194467098</v>
      </c>
      <c r="X113" s="82">
        <v>3351.9359199999999</v>
      </c>
      <c r="Y113" s="82">
        <v>3730.1256625698202</v>
      </c>
      <c r="Z113" s="82">
        <v>3307.237916</v>
      </c>
      <c r="AA113" s="82">
        <v>2786.2880399999999</v>
      </c>
    </row>
    <row r="114" spans="1:27">
      <c r="A114" t="s">
        <v>2</v>
      </c>
      <c r="E114" s="61"/>
      <c r="F114" s="82"/>
      <c r="G114" s="82"/>
      <c r="H114" s="82"/>
      <c r="I114" s="82"/>
      <c r="J114" s="82"/>
      <c r="K114" s="82"/>
      <c r="L114" s="82"/>
      <c r="M114" s="82"/>
      <c r="N114" s="82"/>
      <c r="O114" s="82"/>
      <c r="P114" s="82"/>
      <c r="Q114" s="82"/>
      <c r="R114" s="82"/>
      <c r="S114" s="82"/>
      <c r="T114" s="82"/>
      <c r="U114" s="82"/>
      <c r="V114" s="82"/>
      <c r="W114" s="82"/>
      <c r="X114" s="82"/>
    </row>
    <row r="115" spans="1:27">
      <c r="B115" s="23" t="s">
        <v>67</v>
      </c>
      <c r="E115" s="61"/>
      <c r="F115" s="82"/>
      <c r="G115" s="82"/>
      <c r="H115" s="82"/>
      <c r="I115" s="82"/>
      <c r="J115" s="82"/>
      <c r="K115" s="82"/>
      <c r="L115" s="82"/>
      <c r="M115" s="82"/>
      <c r="N115" s="82"/>
      <c r="O115" s="82"/>
      <c r="P115" s="82"/>
      <c r="Q115" s="82"/>
      <c r="R115" s="82"/>
      <c r="S115" s="82"/>
      <c r="T115" s="82"/>
      <c r="U115" s="82"/>
      <c r="V115" s="82"/>
      <c r="W115" s="82"/>
      <c r="X115" s="82"/>
    </row>
    <row r="116" spans="1:27">
      <c r="C116" s="23" t="s">
        <v>82</v>
      </c>
      <c r="E116" s="61"/>
      <c r="F116" s="82"/>
      <c r="G116" s="82"/>
      <c r="H116" s="82"/>
      <c r="I116" s="82"/>
      <c r="J116" s="82"/>
      <c r="K116" s="82"/>
      <c r="L116" s="82"/>
      <c r="M116" s="82"/>
      <c r="N116" s="82"/>
      <c r="O116" s="82"/>
      <c r="P116" s="82"/>
      <c r="Q116" s="82"/>
      <c r="R116" s="82"/>
      <c r="S116" s="82"/>
      <c r="T116" s="82"/>
      <c r="U116" s="82"/>
      <c r="V116" s="82"/>
      <c r="W116" s="82"/>
      <c r="X116" s="82"/>
    </row>
    <row r="117" spans="1:27">
      <c r="D117" s="11" t="s">
        <v>274</v>
      </c>
      <c r="E117" s="58" t="s">
        <v>269</v>
      </c>
      <c r="F117" s="82">
        <v>687.97</v>
      </c>
      <c r="G117" s="82">
        <v>746.84371881481502</v>
      </c>
      <c r="H117" s="82">
        <v>714.81600000000003</v>
      </c>
      <c r="I117" s="82">
        <v>635.67999999999995</v>
      </c>
      <c r="J117" s="82">
        <v>655.42928840000002</v>
      </c>
      <c r="K117" s="82">
        <v>683.49015999999995</v>
      </c>
      <c r="L117" s="82">
        <v>590.60402999999997</v>
      </c>
      <c r="M117" s="82">
        <v>623.29158280000001</v>
      </c>
      <c r="N117" s="82">
        <v>710.54413999999997</v>
      </c>
      <c r="O117" s="82">
        <v>636.48311000000001</v>
      </c>
      <c r="P117" s="82">
        <v>399.62099999999998</v>
      </c>
      <c r="Q117" s="82">
        <v>360.67500000000001</v>
      </c>
      <c r="R117" s="82">
        <v>317.52199999999999</v>
      </c>
      <c r="S117" s="82">
        <v>383.30667999999997</v>
      </c>
      <c r="T117" s="82">
        <v>365.48822999999999</v>
      </c>
      <c r="U117" s="82">
        <v>356.85399999999998</v>
      </c>
      <c r="V117" s="82">
        <v>337.80799999999999</v>
      </c>
      <c r="W117" s="82">
        <v>242.89984000000001</v>
      </c>
      <c r="X117" s="82">
        <v>308.326136296296</v>
      </c>
      <c r="Y117" s="82">
        <v>276.31620600000099</v>
      </c>
      <c r="Z117" s="82">
        <v>228.10400000000001</v>
      </c>
      <c r="AA117" s="82">
        <v>414.48545580699903</v>
      </c>
    </row>
    <row r="118" spans="1:27">
      <c r="D118" s="24" t="s">
        <v>84</v>
      </c>
      <c r="E118" s="58" t="s">
        <v>269</v>
      </c>
      <c r="F118" s="82">
        <v>4620.6360000000004</v>
      </c>
      <c r="G118" s="82">
        <v>4448.14990740741</v>
      </c>
      <c r="H118" s="82">
        <v>4352.7389999999996</v>
      </c>
      <c r="I118" s="82">
        <v>3135.6849999999999</v>
      </c>
      <c r="J118" s="82">
        <v>3304.3501099999999</v>
      </c>
      <c r="K118" s="82">
        <v>3588.0790099999999</v>
      </c>
      <c r="L118" s="82">
        <v>3094.9157700000001</v>
      </c>
      <c r="M118" s="82">
        <v>2037.7881400000001</v>
      </c>
      <c r="N118" s="82">
        <v>1940.8589999999999</v>
      </c>
      <c r="O118" s="82">
        <v>397.84073999999998</v>
      </c>
      <c r="P118" s="82">
        <v>392.41300000000001</v>
      </c>
      <c r="Q118" s="82">
        <v>767.53300000000002</v>
      </c>
      <c r="R118" s="82">
        <v>759.73699999999997</v>
      </c>
      <c r="S118" s="82">
        <v>754.34840999999994</v>
      </c>
      <c r="T118" s="82">
        <v>834.55200000000002</v>
      </c>
      <c r="U118" s="82">
        <v>896.08352000000002</v>
      </c>
      <c r="V118" s="82">
        <v>849.42399999999998</v>
      </c>
      <c r="W118" s="82">
        <v>995.12226999999996</v>
      </c>
      <c r="X118" s="82">
        <v>992.96745037036999</v>
      </c>
      <c r="Y118" s="82">
        <v>848.63147000000004</v>
      </c>
      <c r="Z118" s="82">
        <v>666.73699999999997</v>
      </c>
      <c r="AA118" s="82">
        <v>738.02022185185103</v>
      </c>
    </row>
    <row r="119" spans="1:27">
      <c r="D119" s="24" t="s">
        <v>76</v>
      </c>
      <c r="E119" s="58" t="s">
        <v>269</v>
      </c>
      <c r="F119" s="82">
        <v>6.7690000000000001</v>
      </c>
      <c r="G119" s="82">
        <v>6.7130000000000001</v>
      </c>
      <c r="H119" s="82">
        <v>10.914999999999999</v>
      </c>
      <c r="I119" s="82">
        <v>11.488</v>
      </c>
      <c r="J119" s="82">
        <v>6.7027999999999999</v>
      </c>
      <c r="K119" s="82">
        <v>3.5990500000000001</v>
      </c>
      <c r="L119" s="82">
        <v>11.099600000000001</v>
      </c>
      <c r="M119" s="82">
        <v>8.6638500000000001</v>
      </c>
      <c r="N119" s="82">
        <v>7.6317599999999999</v>
      </c>
      <c r="O119" s="82">
        <v>4.9260000000000002</v>
      </c>
      <c r="P119" s="82">
        <v>3.173</v>
      </c>
      <c r="Q119" s="82">
        <v>5.2489999999999997</v>
      </c>
      <c r="R119" s="82">
        <v>4.9850000000000003</v>
      </c>
      <c r="S119" s="82">
        <v>5.8364399999999996</v>
      </c>
      <c r="T119" s="82">
        <v>4.2119600000000004</v>
      </c>
      <c r="U119" s="82">
        <v>7.3520000000000003</v>
      </c>
      <c r="V119" s="82">
        <v>8.6959999999999997</v>
      </c>
      <c r="W119" s="82">
        <v>9.1700999999999997</v>
      </c>
      <c r="X119" s="82">
        <v>7.1456400000000002</v>
      </c>
      <c r="Y119" s="82">
        <v>16.034120000000001</v>
      </c>
      <c r="Z119" s="82">
        <v>40.493000000000002</v>
      </c>
      <c r="AA119" s="82">
        <v>12.7632377777778</v>
      </c>
    </row>
    <row r="120" spans="1:27">
      <c r="D120" s="24" t="s">
        <v>43</v>
      </c>
      <c r="E120" s="58" t="s">
        <v>269</v>
      </c>
      <c r="F120" s="82">
        <v>5315.375</v>
      </c>
      <c r="G120" s="82">
        <v>5201.7066262222197</v>
      </c>
      <c r="H120" s="82">
        <v>5078.47</v>
      </c>
      <c r="I120" s="82">
        <v>3782.8530000000001</v>
      </c>
      <c r="J120" s="82">
        <v>3966.4821984</v>
      </c>
      <c r="K120" s="82">
        <v>4275.1682199999996</v>
      </c>
      <c r="L120" s="82">
        <v>3696.6194</v>
      </c>
      <c r="M120" s="82">
        <v>2669.7435728</v>
      </c>
      <c r="N120" s="82">
        <v>2659.0349000000001</v>
      </c>
      <c r="O120" s="82">
        <v>1039.2498499999999</v>
      </c>
      <c r="P120" s="82">
        <v>795.20699999999999</v>
      </c>
      <c r="Q120" s="82">
        <v>1133.4570000000001</v>
      </c>
      <c r="R120" s="82">
        <v>1082.2439999999999</v>
      </c>
      <c r="S120" s="82">
        <v>1143.49153</v>
      </c>
      <c r="T120" s="82">
        <v>1204.2521899999999</v>
      </c>
      <c r="U120" s="82">
        <v>1260.28952</v>
      </c>
      <c r="V120" s="82">
        <v>1195.9280000000001</v>
      </c>
      <c r="W120" s="82">
        <v>1247.1922099999999</v>
      </c>
      <c r="X120" s="82">
        <v>1308.43922666667</v>
      </c>
      <c r="Y120" s="82">
        <v>1140.981796</v>
      </c>
      <c r="Z120" s="82">
        <v>935.33399999999995</v>
      </c>
      <c r="AA120" s="82">
        <v>1165.2689154366301</v>
      </c>
    </row>
    <row r="121" spans="1:27">
      <c r="C121" s="23" t="s">
        <v>83</v>
      </c>
      <c r="E121" s="61"/>
      <c r="F121" s="82"/>
      <c r="G121" s="82"/>
      <c r="H121" s="82"/>
      <c r="I121" s="82"/>
      <c r="J121" s="82"/>
      <c r="K121" s="82"/>
      <c r="L121" s="82"/>
      <c r="M121" s="82"/>
      <c r="N121" s="82"/>
      <c r="O121" s="82"/>
      <c r="P121" s="82"/>
      <c r="Q121" s="82"/>
      <c r="R121" s="82"/>
      <c r="S121" s="82"/>
      <c r="T121" s="82"/>
      <c r="U121" s="82"/>
      <c r="V121" s="82"/>
      <c r="W121" s="82"/>
      <c r="X121" s="82"/>
      <c r="Y121" s="82"/>
      <c r="Z121" s="82"/>
      <c r="AA121" s="82"/>
    </row>
    <row r="122" spans="1:27">
      <c r="D122" s="11" t="s">
        <v>274</v>
      </c>
      <c r="E122" s="58" t="s">
        <v>269</v>
      </c>
      <c r="F122" s="82">
        <v>0</v>
      </c>
      <c r="G122" s="82">
        <v>6.3435185185185201</v>
      </c>
      <c r="H122" s="82">
        <v>6.2629999999999999</v>
      </c>
      <c r="I122" s="82">
        <v>18.202000000000002</v>
      </c>
      <c r="J122" s="82">
        <v>21.538</v>
      </c>
      <c r="K122" s="82">
        <v>8.8949999999999996</v>
      </c>
      <c r="L122" s="82">
        <v>13.507</v>
      </c>
      <c r="M122" s="82">
        <v>3.7120000000000002</v>
      </c>
      <c r="N122" s="82">
        <v>4.6650799999999997</v>
      </c>
      <c r="O122" s="82">
        <v>0.36299999999999999</v>
      </c>
      <c r="P122" s="82">
        <v>1.264</v>
      </c>
      <c r="Q122" s="82">
        <v>0</v>
      </c>
      <c r="R122" s="82">
        <v>37.466000000000001</v>
      </c>
      <c r="S122" s="82">
        <v>67.852000000000004</v>
      </c>
      <c r="T122" s="82">
        <v>364.00896</v>
      </c>
      <c r="U122" s="82">
        <v>643.43700000000001</v>
      </c>
      <c r="V122" s="82">
        <v>617.73900000000003</v>
      </c>
      <c r="W122" s="82">
        <v>279.58983999999998</v>
      </c>
      <c r="X122" s="82">
        <v>434.56562962962897</v>
      </c>
      <c r="Y122" s="82">
        <v>438.93747999999999</v>
      </c>
      <c r="Z122" s="82">
        <v>395.07650000000001</v>
      </c>
      <c r="AA122" s="82">
        <v>224.34557000000001</v>
      </c>
    </row>
    <row r="123" spans="1:27">
      <c r="D123" s="24" t="s">
        <v>84</v>
      </c>
      <c r="E123" s="58" t="s">
        <v>269</v>
      </c>
      <c r="F123" s="82">
        <v>748.92100000000005</v>
      </c>
      <c r="G123" s="82">
        <v>613.24814814814795</v>
      </c>
      <c r="H123" s="82">
        <v>917.72900000000004</v>
      </c>
      <c r="I123" s="82">
        <v>1059.9670000000001</v>
      </c>
      <c r="J123" s="82">
        <v>1060.4590700000001</v>
      </c>
      <c r="K123" s="82">
        <v>1314.539</v>
      </c>
      <c r="L123" s="82">
        <v>1147.615</v>
      </c>
      <c r="M123" s="82">
        <v>986.90599999999995</v>
      </c>
      <c r="N123" s="82">
        <v>929.45</v>
      </c>
      <c r="O123" s="82">
        <v>302.34965</v>
      </c>
      <c r="P123" s="82">
        <v>351.92599999999999</v>
      </c>
      <c r="Q123" s="82">
        <v>1084.9369999999999</v>
      </c>
      <c r="R123" s="82">
        <v>1252.864</v>
      </c>
      <c r="S123" s="82">
        <v>1956.0239999999999</v>
      </c>
      <c r="T123" s="82">
        <v>2274.1231200000002</v>
      </c>
      <c r="U123" s="82">
        <v>2370.9636799999998</v>
      </c>
      <c r="V123" s="82">
        <v>2480.902</v>
      </c>
      <c r="W123" s="82">
        <v>2379.4385600000001</v>
      </c>
      <c r="X123" s="82">
        <v>2187.2232907407401</v>
      </c>
      <c r="Y123" s="82">
        <v>1968.6742999999999</v>
      </c>
      <c r="Z123" s="82">
        <v>2134.9334359139798</v>
      </c>
      <c r="AA123" s="82">
        <v>1908.1137122222201</v>
      </c>
    </row>
    <row r="124" spans="1:27">
      <c r="D124" s="24" t="s">
        <v>76</v>
      </c>
      <c r="E124" s="58" t="s">
        <v>269</v>
      </c>
      <c r="F124" s="82">
        <v>0</v>
      </c>
      <c r="G124" s="82">
        <v>0</v>
      </c>
      <c r="H124" s="82">
        <v>0</v>
      </c>
      <c r="I124" s="82">
        <v>0</v>
      </c>
      <c r="J124" s="82">
        <v>0</v>
      </c>
      <c r="K124" s="82">
        <v>0</v>
      </c>
      <c r="L124" s="82">
        <v>0</v>
      </c>
      <c r="M124" s="82">
        <v>0</v>
      </c>
      <c r="N124" s="82">
        <v>0.18118999999999999</v>
      </c>
      <c r="O124" s="82">
        <v>1.5</v>
      </c>
      <c r="P124" s="82">
        <v>0</v>
      </c>
      <c r="Q124" s="82">
        <v>0</v>
      </c>
      <c r="R124" s="82">
        <v>0</v>
      </c>
      <c r="S124" s="82">
        <v>0.63893</v>
      </c>
      <c r="T124" s="82">
        <v>0.56200000000000006</v>
      </c>
      <c r="U124" s="82">
        <v>6.5000000000000002E-2</v>
      </c>
      <c r="V124" s="82">
        <v>0.47599999999999998</v>
      </c>
      <c r="W124" s="82">
        <v>2.6669999999999999E-2</v>
      </c>
      <c r="X124" s="82">
        <v>0</v>
      </c>
      <c r="Y124" s="82">
        <v>0</v>
      </c>
      <c r="Z124" s="82">
        <v>0</v>
      </c>
      <c r="AA124" s="82">
        <v>2.74074074074074</v>
      </c>
    </row>
    <row r="125" spans="1:27">
      <c r="D125" s="24" t="s">
        <v>43</v>
      </c>
      <c r="E125" s="58" t="s">
        <v>269</v>
      </c>
      <c r="F125" s="82">
        <v>748.92100000000005</v>
      </c>
      <c r="G125" s="82">
        <v>619.59166666666704</v>
      </c>
      <c r="H125" s="82">
        <v>923.99199999999996</v>
      </c>
      <c r="I125" s="82">
        <v>1078.1690000000001</v>
      </c>
      <c r="J125" s="82">
        <v>1081.9970699999999</v>
      </c>
      <c r="K125" s="82">
        <v>1323.434</v>
      </c>
      <c r="L125" s="82">
        <v>1161.1220000000001</v>
      </c>
      <c r="M125" s="82">
        <v>990.61800000000005</v>
      </c>
      <c r="N125" s="82">
        <v>934.29627000000005</v>
      </c>
      <c r="O125" s="82">
        <v>304.21265</v>
      </c>
      <c r="P125" s="82">
        <v>353.19</v>
      </c>
      <c r="Q125" s="82">
        <v>1084.9369999999999</v>
      </c>
      <c r="R125" s="82">
        <v>1290.33</v>
      </c>
      <c r="S125" s="82">
        <v>2024.51493</v>
      </c>
      <c r="T125" s="82">
        <v>2638.6940800000002</v>
      </c>
      <c r="U125" s="82">
        <v>3014.4656799999998</v>
      </c>
      <c r="V125" s="82">
        <v>3099.1170000000002</v>
      </c>
      <c r="W125" s="82">
        <v>2659.0550699999999</v>
      </c>
      <c r="X125" s="82">
        <v>2621.7889203703699</v>
      </c>
      <c r="Y125" s="82">
        <v>2407.6117800000002</v>
      </c>
      <c r="Z125" s="82">
        <v>2530.0099359139799</v>
      </c>
      <c r="AA125" s="82">
        <v>2135.2000229629598</v>
      </c>
    </row>
    <row r="126" spans="1:27">
      <c r="C126" s="23" t="s">
        <v>42</v>
      </c>
      <c r="E126" s="61"/>
      <c r="F126" s="82"/>
      <c r="G126" s="82"/>
      <c r="H126" s="82"/>
      <c r="I126" s="82"/>
      <c r="J126" s="82"/>
      <c r="K126" s="82"/>
      <c r="L126" s="82"/>
      <c r="M126" s="82"/>
      <c r="N126" s="82"/>
      <c r="O126" s="82"/>
      <c r="P126" s="82"/>
      <c r="Q126" s="82"/>
      <c r="R126" s="82"/>
      <c r="S126" s="82"/>
      <c r="T126" s="82"/>
      <c r="U126" s="82"/>
      <c r="V126" s="82"/>
      <c r="W126" s="82"/>
      <c r="X126" s="82"/>
      <c r="Y126" s="82"/>
      <c r="Z126" s="82"/>
      <c r="AA126" s="82"/>
    </row>
    <row r="127" spans="1:27">
      <c r="D127" s="11" t="s">
        <v>274</v>
      </c>
      <c r="E127" s="58" t="s">
        <v>269</v>
      </c>
      <c r="F127" s="82">
        <v>660.46500000000003</v>
      </c>
      <c r="G127" s="82">
        <v>674.81245962962998</v>
      </c>
      <c r="H127" s="82">
        <v>629.71665519999999</v>
      </c>
      <c r="I127" s="82">
        <v>609.77182083010803</v>
      </c>
      <c r="J127" s="82">
        <v>798.01171199999999</v>
      </c>
      <c r="K127" s="82">
        <v>685.29719</v>
      </c>
      <c r="L127" s="82">
        <v>465.10392000000002</v>
      </c>
      <c r="M127" s="82">
        <v>533.30597</v>
      </c>
      <c r="N127" s="82">
        <v>581.3184</v>
      </c>
      <c r="O127" s="82">
        <v>473.58024999999998</v>
      </c>
      <c r="P127" s="82">
        <v>567.74</v>
      </c>
      <c r="Q127" s="82">
        <v>549.45000000000005</v>
      </c>
      <c r="R127" s="82">
        <v>580.01099999999997</v>
      </c>
      <c r="S127" s="82">
        <v>571.97242000000006</v>
      </c>
      <c r="T127" s="82">
        <v>715.08883000000003</v>
      </c>
      <c r="U127" s="82">
        <v>775.97002999999995</v>
      </c>
      <c r="V127" s="82">
        <v>712.79615000000001</v>
      </c>
      <c r="W127" s="82">
        <v>833.42053314471696</v>
      </c>
      <c r="X127" s="82">
        <v>655.49452306063404</v>
      </c>
      <c r="Y127" s="82">
        <v>666.19474663410006</v>
      </c>
      <c r="Z127" s="82">
        <v>593.20119599999998</v>
      </c>
      <c r="AA127" s="82">
        <v>684.12031400000001</v>
      </c>
    </row>
    <row r="128" spans="1:27">
      <c r="D128" s="24" t="s">
        <v>84</v>
      </c>
      <c r="E128" s="58" t="s">
        <v>269</v>
      </c>
      <c r="F128" s="82">
        <v>597.61199999999997</v>
      </c>
      <c r="G128" s="82">
        <v>561.38786907407405</v>
      </c>
      <c r="H128" s="82">
        <v>476.00661200000002</v>
      </c>
      <c r="I128" s="82">
        <v>534.26940930000001</v>
      </c>
      <c r="J128" s="82">
        <v>321.99131</v>
      </c>
      <c r="K128" s="82">
        <v>670.28944000000001</v>
      </c>
      <c r="L128" s="82">
        <v>391.10241000000002</v>
      </c>
      <c r="M128" s="82">
        <v>560.61800000000005</v>
      </c>
      <c r="N128" s="82">
        <v>713.66245000000004</v>
      </c>
      <c r="O128" s="82">
        <v>711.91012000000001</v>
      </c>
      <c r="P128" s="82">
        <v>683.91499999999996</v>
      </c>
      <c r="Q128" s="82">
        <v>573.86900000000003</v>
      </c>
      <c r="R128" s="82">
        <v>501.613</v>
      </c>
      <c r="S128" s="82">
        <v>553.22946000000002</v>
      </c>
      <c r="T128" s="82">
        <v>696.09136999999998</v>
      </c>
      <c r="U128" s="82">
        <v>738.44259</v>
      </c>
      <c r="V128" s="82">
        <v>692.36099999999999</v>
      </c>
      <c r="W128" s="82">
        <v>802.17304999999999</v>
      </c>
      <c r="X128" s="82">
        <v>697.06541000000004</v>
      </c>
      <c r="Y128" s="82">
        <v>951.387732142255</v>
      </c>
      <c r="Z128" s="82">
        <v>983.93764697849304</v>
      </c>
      <c r="AA128" s="82">
        <v>816.63767099999995</v>
      </c>
    </row>
    <row r="129" spans="1:27">
      <c r="D129" s="24" t="s">
        <v>76</v>
      </c>
      <c r="E129" s="58" t="s">
        <v>269</v>
      </c>
      <c r="F129" s="82">
        <v>11.188000000000001</v>
      </c>
      <c r="G129" s="82">
        <v>13.027558000000001</v>
      </c>
      <c r="H129" s="82">
        <v>11.6855053763441</v>
      </c>
      <c r="I129" s="82">
        <v>9.9272945000000004</v>
      </c>
      <c r="J129" s="82">
        <v>14.012890000000001</v>
      </c>
      <c r="K129" s="82">
        <v>16.638639999999999</v>
      </c>
      <c r="L129" s="82">
        <v>14.033025</v>
      </c>
      <c r="M129" s="82">
        <v>12.284000000000001</v>
      </c>
      <c r="N129" s="82">
        <v>11.336119999999999</v>
      </c>
      <c r="O129" s="82">
        <v>8.9928000000000008</v>
      </c>
      <c r="P129" s="82">
        <v>10.179</v>
      </c>
      <c r="Q129" s="82">
        <v>2.1560000000000001</v>
      </c>
      <c r="R129" s="82">
        <v>0.77300000000000002</v>
      </c>
      <c r="S129" s="82">
        <v>10.827999999999999</v>
      </c>
      <c r="T129" s="82">
        <v>9.8517100000000006</v>
      </c>
      <c r="U129" s="82">
        <v>29.60755</v>
      </c>
      <c r="V129" s="82">
        <v>33.687339999999999</v>
      </c>
      <c r="W129" s="82">
        <v>45.360080000000004</v>
      </c>
      <c r="X129" s="82">
        <v>15.88219</v>
      </c>
      <c r="Y129" s="82">
        <v>17.634229999999999</v>
      </c>
      <c r="Z129" s="82">
        <v>13.133109999999901</v>
      </c>
      <c r="AA129" s="82">
        <v>17.096999999999898</v>
      </c>
    </row>
    <row r="130" spans="1:27">
      <c r="D130" s="24" t="s">
        <v>43</v>
      </c>
      <c r="E130" s="58" t="s">
        <v>269</v>
      </c>
      <c r="F130" s="82">
        <v>1269.2650000000001</v>
      </c>
      <c r="G130" s="82">
        <v>1249.2278867037001</v>
      </c>
      <c r="H130" s="82">
        <v>1117.40877257634</v>
      </c>
      <c r="I130" s="82">
        <v>1153.9685246301101</v>
      </c>
      <c r="J130" s="82">
        <v>1134.0159120000001</v>
      </c>
      <c r="K130" s="82">
        <v>1372.2252699999999</v>
      </c>
      <c r="L130" s="82">
        <v>870.23935500000005</v>
      </c>
      <c r="M130" s="82">
        <v>1106.2079699999999</v>
      </c>
      <c r="N130" s="82">
        <v>1306.3169700000001</v>
      </c>
      <c r="O130" s="82">
        <v>1194.48317</v>
      </c>
      <c r="P130" s="82">
        <v>1261.8340000000001</v>
      </c>
      <c r="Q130" s="82">
        <v>1125.4749999999999</v>
      </c>
      <c r="R130" s="82">
        <v>1082.3969999999999</v>
      </c>
      <c r="S130" s="82">
        <v>1136.02988</v>
      </c>
      <c r="T130" s="82">
        <v>1421.0319099999999</v>
      </c>
      <c r="U130" s="82">
        <v>1544.02017</v>
      </c>
      <c r="V130" s="82">
        <v>1438.84449</v>
      </c>
      <c r="W130" s="82">
        <v>1680.9536631447199</v>
      </c>
      <c r="X130" s="82">
        <v>1368.4421230606299</v>
      </c>
      <c r="Y130" s="82">
        <v>1635.2167087763501</v>
      </c>
      <c r="Z130" s="82">
        <v>1590.2719529784899</v>
      </c>
      <c r="AA130" s="82">
        <v>1517.8549849999999</v>
      </c>
    </row>
    <row r="131" spans="1:27">
      <c r="C131" s="23" t="s">
        <v>43</v>
      </c>
      <c r="E131" s="61"/>
      <c r="F131" s="82"/>
      <c r="G131" s="82"/>
      <c r="H131" s="82"/>
      <c r="I131" s="82"/>
      <c r="J131" s="82"/>
      <c r="K131" s="82"/>
      <c r="L131" s="82"/>
      <c r="M131" s="82"/>
      <c r="N131" s="82"/>
      <c r="O131" s="82"/>
      <c r="P131" s="82"/>
      <c r="Q131" s="82"/>
      <c r="R131" s="82"/>
      <c r="S131" s="82"/>
      <c r="T131" s="82"/>
      <c r="U131" s="82"/>
      <c r="V131" s="82"/>
      <c r="W131" s="82"/>
      <c r="X131" s="82"/>
      <c r="Y131" s="82"/>
      <c r="Z131" s="82"/>
      <c r="AA131" s="82"/>
    </row>
    <row r="132" spans="1:27">
      <c r="D132" s="11" t="s">
        <v>274</v>
      </c>
      <c r="E132" s="58" t="s">
        <v>269</v>
      </c>
      <c r="F132" s="82">
        <v>1348.4349999999999</v>
      </c>
      <c r="G132" s="82">
        <v>1427.9996969629599</v>
      </c>
      <c r="H132" s="82">
        <v>1350.7956552000001</v>
      </c>
      <c r="I132" s="82">
        <v>1263.6538208301099</v>
      </c>
      <c r="J132" s="82">
        <v>1474.9790003999999</v>
      </c>
      <c r="K132" s="82">
        <v>1377.68235</v>
      </c>
      <c r="L132" s="82">
        <v>1069.21495</v>
      </c>
      <c r="M132" s="82">
        <v>1160.3095527999999</v>
      </c>
      <c r="N132" s="82">
        <v>1296.5276200000001</v>
      </c>
      <c r="O132" s="82">
        <v>1110.4263599999999</v>
      </c>
      <c r="P132" s="82">
        <v>968.625</v>
      </c>
      <c r="Q132" s="82">
        <v>910.125</v>
      </c>
      <c r="R132" s="82">
        <v>934.99900000000002</v>
      </c>
      <c r="S132" s="82">
        <v>1023.1310999999999</v>
      </c>
      <c r="T132" s="82">
        <v>1444.58602</v>
      </c>
      <c r="U132" s="82">
        <v>1776.2610299999999</v>
      </c>
      <c r="V132" s="82">
        <v>1668.3431499999999</v>
      </c>
      <c r="W132" s="82">
        <v>1355.91021314472</v>
      </c>
      <c r="X132" s="82">
        <v>1398.38628898656</v>
      </c>
      <c r="Y132" s="82">
        <v>1381.4484326341001</v>
      </c>
      <c r="Z132" s="82">
        <v>1216.3816959999999</v>
      </c>
      <c r="AA132" s="82">
        <v>1322.9513398070001</v>
      </c>
    </row>
    <row r="133" spans="1:27">
      <c r="D133" s="24" t="s">
        <v>84</v>
      </c>
      <c r="E133" s="58" t="s">
        <v>269</v>
      </c>
      <c r="F133" s="82">
        <v>5967.1689999999999</v>
      </c>
      <c r="G133" s="82">
        <v>5622.7859246296302</v>
      </c>
      <c r="H133" s="82">
        <v>5746.474612</v>
      </c>
      <c r="I133" s="82">
        <v>4729.9214093000001</v>
      </c>
      <c r="J133" s="82">
        <v>4686.8004899999996</v>
      </c>
      <c r="K133" s="82">
        <v>5572.9074499999997</v>
      </c>
      <c r="L133" s="82">
        <v>4633.6331799999998</v>
      </c>
      <c r="M133" s="82">
        <v>3585.31214</v>
      </c>
      <c r="N133" s="82">
        <v>3583.97145</v>
      </c>
      <c r="O133" s="82">
        <v>1412.10051</v>
      </c>
      <c r="P133" s="82">
        <v>1428.2539999999999</v>
      </c>
      <c r="Q133" s="82">
        <v>2426.3389999999999</v>
      </c>
      <c r="R133" s="82">
        <v>2514.2139999999999</v>
      </c>
      <c r="S133" s="82">
        <v>3263.60187</v>
      </c>
      <c r="T133" s="82">
        <v>3804.76649</v>
      </c>
      <c r="U133" s="82">
        <v>4005.4897900000001</v>
      </c>
      <c r="V133" s="82">
        <v>4022.6869999999999</v>
      </c>
      <c r="W133" s="82">
        <v>4176.7338799999998</v>
      </c>
      <c r="X133" s="82">
        <v>3877.2561511111098</v>
      </c>
      <c r="Y133" s="82">
        <v>3768.6935021422601</v>
      </c>
      <c r="Z133" s="82">
        <v>3785.6080828924701</v>
      </c>
      <c r="AA133" s="82">
        <v>3462.7716050740701</v>
      </c>
    </row>
    <row r="134" spans="1:27">
      <c r="D134" s="24" t="s">
        <v>76</v>
      </c>
      <c r="E134" s="58" t="s">
        <v>269</v>
      </c>
      <c r="F134" s="82">
        <v>17.957000000000001</v>
      </c>
      <c r="G134" s="82">
        <v>19.740558</v>
      </c>
      <c r="H134" s="82">
        <v>22.600505376344099</v>
      </c>
      <c r="I134" s="82">
        <v>21.415294500000002</v>
      </c>
      <c r="J134" s="82">
        <v>20.715689999999999</v>
      </c>
      <c r="K134" s="82">
        <v>20.237690000000001</v>
      </c>
      <c r="L134" s="82">
        <v>25.132625000000001</v>
      </c>
      <c r="M134" s="82">
        <v>20.947849999999999</v>
      </c>
      <c r="N134" s="82">
        <v>19.149069999999998</v>
      </c>
      <c r="O134" s="82">
        <v>15.418799999999999</v>
      </c>
      <c r="P134" s="82">
        <v>13.352</v>
      </c>
      <c r="Q134" s="82">
        <v>7.4050000000000002</v>
      </c>
      <c r="R134" s="82">
        <v>5.758</v>
      </c>
      <c r="S134" s="82">
        <v>17.303370000000001</v>
      </c>
      <c r="T134" s="82">
        <v>14.62567</v>
      </c>
      <c r="U134" s="82">
        <v>37.024549999999998</v>
      </c>
      <c r="V134" s="82">
        <v>42.859340000000003</v>
      </c>
      <c r="W134" s="82">
        <v>54.556849999999997</v>
      </c>
      <c r="X134" s="82">
        <v>23.027830000000002</v>
      </c>
      <c r="Y134" s="82">
        <v>33.668349999999997</v>
      </c>
      <c r="Z134" s="82">
        <v>53.626109999999898</v>
      </c>
      <c r="AA134" s="82">
        <v>32.600978518518403</v>
      </c>
    </row>
    <row r="135" spans="1:27">
      <c r="D135" s="24" t="s">
        <v>43</v>
      </c>
      <c r="E135" s="58" t="s">
        <v>269</v>
      </c>
      <c r="F135" s="82">
        <v>7333.5609999999997</v>
      </c>
      <c r="G135" s="82">
        <v>7070.5261795925899</v>
      </c>
      <c r="H135" s="82">
        <v>7119.8707725763397</v>
      </c>
      <c r="I135" s="82">
        <v>6014.9905246301096</v>
      </c>
      <c r="J135" s="82">
        <v>6182.4951804000002</v>
      </c>
      <c r="K135" s="82">
        <v>6970.8274899999997</v>
      </c>
      <c r="L135" s="82">
        <v>5727.9807549999996</v>
      </c>
      <c r="M135" s="82">
        <v>4766.5695427999999</v>
      </c>
      <c r="N135" s="82">
        <v>4899.6481400000002</v>
      </c>
      <c r="O135" s="82">
        <v>2537.9456700000001</v>
      </c>
      <c r="P135" s="82">
        <v>2410.2310000000002</v>
      </c>
      <c r="Q135" s="82">
        <v>3343.8690000000001</v>
      </c>
      <c r="R135" s="82">
        <v>3454.971</v>
      </c>
      <c r="S135" s="82">
        <v>4304.0363399999997</v>
      </c>
      <c r="T135" s="82">
        <v>5263.9781800000001</v>
      </c>
      <c r="U135" s="82">
        <v>5818.7753700000003</v>
      </c>
      <c r="V135" s="82">
        <v>5733.8894899999996</v>
      </c>
      <c r="W135" s="82">
        <v>5587.2009431447204</v>
      </c>
      <c r="X135" s="82">
        <v>5298.6702700976703</v>
      </c>
      <c r="Y135" s="82">
        <v>5183.8102847763603</v>
      </c>
      <c r="Z135" s="82">
        <v>5055.6158888924701</v>
      </c>
      <c r="AA135" s="82">
        <v>4818.3239233995901</v>
      </c>
    </row>
    <row r="136" spans="1:27">
      <c r="A136" t="s">
        <v>2</v>
      </c>
      <c r="E136" s="61"/>
      <c r="F136" s="82"/>
      <c r="G136" s="82"/>
      <c r="H136" s="82"/>
      <c r="I136" s="82"/>
      <c r="J136" s="82"/>
      <c r="K136" s="82"/>
      <c r="L136" s="82"/>
      <c r="M136" s="82"/>
      <c r="N136" s="82"/>
      <c r="O136" s="82"/>
      <c r="P136" s="82"/>
      <c r="Q136" s="82"/>
      <c r="R136" s="82"/>
      <c r="S136" s="82"/>
      <c r="T136" s="82"/>
      <c r="U136" s="82"/>
      <c r="V136" s="82"/>
      <c r="W136" s="82"/>
      <c r="X136" s="82"/>
    </row>
    <row r="137" spans="1:27">
      <c r="B137" s="23" t="s">
        <v>68</v>
      </c>
      <c r="E137" s="61"/>
      <c r="F137" s="82"/>
      <c r="G137" s="82"/>
      <c r="H137" s="82"/>
      <c r="I137" s="82"/>
      <c r="J137" s="82"/>
      <c r="K137" s="82"/>
      <c r="L137" s="82"/>
      <c r="M137" s="82"/>
      <c r="N137" s="82"/>
      <c r="O137" s="82"/>
      <c r="P137" s="82"/>
      <c r="Q137" s="82"/>
      <c r="R137" s="82"/>
      <c r="S137" s="82"/>
      <c r="T137" s="82"/>
      <c r="U137" s="82"/>
      <c r="V137" s="82"/>
      <c r="W137" s="82"/>
      <c r="X137" s="82"/>
    </row>
    <row r="138" spans="1:27">
      <c r="C138" s="23" t="s">
        <v>82</v>
      </c>
      <c r="E138" s="61"/>
      <c r="F138" s="82"/>
      <c r="G138" s="82"/>
      <c r="H138" s="82"/>
      <c r="I138" s="82"/>
      <c r="J138" s="82"/>
      <c r="K138" s="82"/>
      <c r="L138" s="82"/>
      <c r="M138" s="82"/>
      <c r="N138" s="82"/>
      <c r="O138" s="82"/>
      <c r="P138" s="82"/>
      <c r="Q138" s="82"/>
      <c r="R138" s="82"/>
      <c r="S138" s="82"/>
      <c r="T138" s="82"/>
      <c r="U138" s="82"/>
      <c r="V138" s="82"/>
      <c r="W138" s="82"/>
      <c r="X138" s="82"/>
    </row>
    <row r="139" spans="1:27">
      <c r="D139" s="11" t="s">
        <v>274</v>
      </c>
      <c r="E139" s="58" t="s">
        <v>269</v>
      </c>
      <c r="F139" s="82">
        <v>0</v>
      </c>
      <c r="G139" s="82">
        <v>7</v>
      </c>
      <c r="H139" s="82">
        <v>21</v>
      </c>
      <c r="I139" s="82">
        <v>25</v>
      </c>
      <c r="J139" s="82">
        <v>0</v>
      </c>
      <c r="K139" s="82">
        <v>0</v>
      </c>
      <c r="L139" s="82">
        <v>0</v>
      </c>
      <c r="M139" s="82">
        <v>0</v>
      </c>
      <c r="N139" s="82">
        <v>0</v>
      </c>
      <c r="O139" s="82">
        <v>0</v>
      </c>
      <c r="P139" s="82">
        <v>0</v>
      </c>
      <c r="Q139" s="82">
        <v>0</v>
      </c>
      <c r="R139" s="82">
        <v>0</v>
      </c>
      <c r="S139" s="82" t="s">
        <v>211</v>
      </c>
      <c r="T139" s="82" t="s">
        <v>211</v>
      </c>
      <c r="U139" s="82" t="s">
        <v>211</v>
      </c>
      <c r="V139" s="82" t="s">
        <v>211</v>
      </c>
      <c r="W139" s="82" t="s">
        <v>211</v>
      </c>
      <c r="X139" s="82" t="s">
        <v>211</v>
      </c>
      <c r="Y139" s="82" t="s">
        <v>211</v>
      </c>
      <c r="Z139" s="82" t="s">
        <v>211</v>
      </c>
      <c r="AA139" s="82" t="s">
        <v>211</v>
      </c>
    </row>
    <row r="140" spans="1:27">
      <c r="D140" s="24" t="s">
        <v>84</v>
      </c>
      <c r="E140" s="58" t="s">
        <v>269</v>
      </c>
      <c r="F140" s="82">
        <v>0</v>
      </c>
      <c r="G140" s="82">
        <v>0</v>
      </c>
      <c r="H140" s="82">
        <v>0</v>
      </c>
      <c r="I140" s="82">
        <v>0</v>
      </c>
      <c r="J140" s="82">
        <v>0</v>
      </c>
      <c r="K140" s="82">
        <v>0</v>
      </c>
      <c r="L140" s="82">
        <v>0</v>
      </c>
      <c r="M140" s="82">
        <v>0</v>
      </c>
      <c r="N140" s="82">
        <v>0</v>
      </c>
      <c r="O140" s="82">
        <v>0</v>
      </c>
      <c r="P140" s="82">
        <v>0</v>
      </c>
      <c r="Q140" s="82">
        <v>0</v>
      </c>
      <c r="R140" s="82">
        <v>0</v>
      </c>
      <c r="S140" s="82" t="s">
        <v>211</v>
      </c>
      <c r="T140" s="82" t="s">
        <v>211</v>
      </c>
      <c r="U140" s="82" t="s">
        <v>211</v>
      </c>
      <c r="V140" s="82" t="s">
        <v>211</v>
      </c>
      <c r="W140" s="82" t="s">
        <v>211</v>
      </c>
      <c r="X140" s="82" t="s">
        <v>211</v>
      </c>
      <c r="Y140" s="82" t="s">
        <v>211</v>
      </c>
      <c r="Z140" s="82" t="s">
        <v>211</v>
      </c>
      <c r="AA140" s="82" t="s">
        <v>211</v>
      </c>
    </row>
    <row r="141" spans="1:27">
      <c r="D141" s="24" t="s">
        <v>76</v>
      </c>
      <c r="E141" s="58" t="s">
        <v>269</v>
      </c>
      <c r="F141" s="82">
        <v>0</v>
      </c>
      <c r="G141" s="82">
        <v>0</v>
      </c>
      <c r="H141" s="82">
        <v>0</v>
      </c>
      <c r="I141" s="82">
        <v>0</v>
      </c>
      <c r="J141" s="82">
        <v>0</v>
      </c>
      <c r="K141" s="82">
        <v>0</v>
      </c>
      <c r="L141" s="82">
        <v>0</v>
      </c>
      <c r="M141" s="82">
        <v>0</v>
      </c>
      <c r="N141" s="82">
        <v>0</v>
      </c>
      <c r="O141" s="82">
        <v>0</v>
      </c>
      <c r="P141" s="82">
        <v>0</v>
      </c>
      <c r="Q141" s="82">
        <v>0</v>
      </c>
      <c r="R141" s="82">
        <v>0</v>
      </c>
      <c r="S141" s="82" t="s">
        <v>211</v>
      </c>
      <c r="T141" s="82" t="s">
        <v>211</v>
      </c>
      <c r="U141" s="82" t="s">
        <v>211</v>
      </c>
      <c r="V141" s="82" t="s">
        <v>211</v>
      </c>
      <c r="W141" s="82" t="s">
        <v>211</v>
      </c>
      <c r="X141" s="82" t="s">
        <v>211</v>
      </c>
      <c r="Y141" s="82" t="s">
        <v>211</v>
      </c>
      <c r="Z141" s="82" t="s">
        <v>211</v>
      </c>
      <c r="AA141" s="82" t="s">
        <v>211</v>
      </c>
    </row>
    <row r="142" spans="1:27">
      <c r="D142" s="24" t="s">
        <v>43</v>
      </c>
      <c r="E142" s="58" t="s">
        <v>269</v>
      </c>
      <c r="F142" s="82">
        <v>0</v>
      </c>
      <c r="G142" s="82">
        <v>7</v>
      </c>
      <c r="H142" s="82">
        <v>21</v>
      </c>
      <c r="I142" s="82">
        <v>25</v>
      </c>
      <c r="J142" s="82">
        <v>0</v>
      </c>
      <c r="K142" s="82">
        <v>0</v>
      </c>
      <c r="L142" s="82">
        <v>0</v>
      </c>
      <c r="M142" s="82">
        <v>0</v>
      </c>
      <c r="N142" s="82">
        <v>0</v>
      </c>
      <c r="O142" s="82">
        <v>0</v>
      </c>
      <c r="P142" s="82">
        <v>0</v>
      </c>
      <c r="Q142" s="82">
        <v>0</v>
      </c>
      <c r="R142" s="82">
        <v>0</v>
      </c>
      <c r="S142" s="82" t="s">
        <v>211</v>
      </c>
      <c r="T142" s="82" t="s">
        <v>211</v>
      </c>
      <c r="U142" s="82" t="s">
        <v>211</v>
      </c>
      <c r="V142" s="82" t="s">
        <v>211</v>
      </c>
      <c r="W142" s="82" t="s">
        <v>211</v>
      </c>
      <c r="X142" s="82" t="s">
        <v>211</v>
      </c>
      <c r="Y142" s="82" t="s">
        <v>211</v>
      </c>
      <c r="Z142" s="82" t="s">
        <v>211</v>
      </c>
      <c r="AA142" s="82" t="s">
        <v>211</v>
      </c>
    </row>
    <row r="143" spans="1:27">
      <c r="C143" s="23" t="s">
        <v>83</v>
      </c>
      <c r="E143" s="61"/>
      <c r="F143" s="82"/>
      <c r="G143" s="82"/>
      <c r="H143" s="82"/>
      <c r="I143" s="82"/>
      <c r="J143" s="82"/>
      <c r="K143" s="82"/>
      <c r="L143" s="82"/>
      <c r="M143" s="82"/>
      <c r="N143" s="82"/>
      <c r="O143" s="82"/>
      <c r="P143" s="82"/>
      <c r="Q143" s="82"/>
      <c r="R143" s="82"/>
      <c r="S143" s="82"/>
      <c r="T143" s="82"/>
      <c r="U143" s="82"/>
      <c r="V143" s="82"/>
      <c r="W143" s="82"/>
      <c r="X143" s="82"/>
      <c r="Y143" s="82"/>
      <c r="Z143" s="82"/>
      <c r="AA143" s="82"/>
    </row>
    <row r="144" spans="1:27">
      <c r="D144" s="11" t="s">
        <v>274</v>
      </c>
      <c r="E144" s="58" t="s">
        <v>269</v>
      </c>
      <c r="F144" s="82">
        <v>0</v>
      </c>
      <c r="G144" s="82">
        <v>0</v>
      </c>
      <c r="H144" s="82">
        <v>0</v>
      </c>
      <c r="I144" s="82">
        <v>0</v>
      </c>
      <c r="J144" s="82">
        <v>0</v>
      </c>
      <c r="K144" s="82">
        <v>0</v>
      </c>
      <c r="L144" s="82">
        <v>0</v>
      </c>
      <c r="M144" s="82">
        <v>0</v>
      </c>
      <c r="N144" s="82">
        <v>0</v>
      </c>
      <c r="O144" s="82">
        <v>0</v>
      </c>
      <c r="P144" s="82">
        <v>0</v>
      </c>
      <c r="Q144" s="82">
        <v>0</v>
      </c>
      <c r="R144" s="82">
        <v>0</v>
      </c>
      <c r="S144" s="82" t="s">
        <v>211</v>
      </c>
      <c r="T144" s="82" t="s">
        <v>211</v>
      </c>
      <c r="U144" s="82" t="s">
        <v>211</v>
      </c>
      <c r="V144" s="82" t="s">
        <v>211</v>
      </c>
      <c r="W144" s="82" t="s">
        <v>211</v>
      </c>
      <c r="X144" s="82" t="s">
        <v>211</v>
      </c>
      <c r="Y144" s="82" t="s">
        <v>211</v>
      </c>
      <c r="Z144" s="82" t="s">
        <v>211</v>
      </c>
      <c r="AA144" s="82" t="s">
        <v>211</v>
      </c>
    </row>
    <row r="145" spans="1:27">
      <c r="D145" s="24" t="s">
        <v>84</v>
      </c>
      <c r="E145" s="58" t="s">
        <v>269</v>
      </c>
      <c r="F145" s="82">
        <v>0</v>
      </c>
      <c r="G145" s="82">
        <v>0</v>
      </c>
      <c r="H145" s="82">
        <v>0</v>
      </c>
      <c r="I145" s="82">
        <v>0</v>
      </c>
      <c r="J145" s="82">
        <v>0</v>
      </c>
      <c r="K145" s="82">
        <v>0</v>
      </c>
      <c r="L145" s="82">
        <v>0</v>
      </c>
      <c r="M145" s="82">
        <v>0</v>
      </c>
      <c r="N145" s="82">
        <v>0</v>
      </c>
      <c r="O145" s="82">
        <v>0</v>
      </c>
      <c r="P145" s="82">
        <v>0</v>
      </c>
      <c r="Q145" s="82">
        <v>0</v>
      </c>
      <c r="R145" s="82">
        <v>0</v>
      </c>
      <c r="S145" s="82" t="s">
        <v>211</v>
      </c>
      <c r="T145" s="82" t="s">
        <v>211</v>
      </c>
      <c r="U145" s="82" t="s">
        <v>211</v>
      </c>
      <c r="V145" s="82" t="s">
        <v>211</v>
      </c>
      <c r="W145" s="82" t="s">
        <v>211</v>
      </c>
      <c r="X145" s="82" t="s">
        <v>211</v>
      </c>
      <c r="Y145" s="82" t="s">
        <v>211</v>
      </c>
      <c r="Z145" s="82" t="s">
        <v>211</v>
      </c>
      <c r="AA145" s="82" t="s">
        <v>211</v>
      </c>
    </row>
    <row r="146" spans="1:27">
      <c r="D146" s="24" t="s">
        <v>76</v>
      </c>
      <c r="E146" s="58" t="s">
        <v>269</v>
      </c>
      <c r="F146" s="82">
        <v>0</v>
      </c>
      <c r="G146" s="82">
        <v>0</v>
      </c>
      <c r="H146" s="82">
        <v>0</v>
      </c>
      <c r="I146" s="82">
        <v>0</v>
      </c>
      <c r="J146" s="82">
        <v>0</v>
      </c>
      <c r="K146" s="82">
        <v>0</v>
      </c>
      <c r="L146" s="82">
        <v>0</v>
      </c>
      <c r="M146" s="82">
        <v>0</v>
      </c>
      <c r="N146" s="82">
        <v>0</v>
      </c>
      <c r="O146" s="82">
        <v>0</v>
      </c>
      <c r="P146" s="82">
        <v>0</v>
      </c>
      <c r="Q146" s="82">
        <v>0</v>
      </c>
      <c r="R146" s="82">
        <v>0</v>
      </c>
      <c r="S146" s="82" t="s">
        <v>211</v>
      </c>
      <c r="T146" s="82" t="s">
        <v>211</v>
      </c>
      <c r="U146" s="82" t="s">
        <v>211</v>
      </c>
      <c r="V146" s="82" t="s">
        <v>211</v>
      </c>
      <c r="W146" s="82" t="s">
        <v>211</v>
      </c>
      <c r="X146" s="82" t="s">
        <v>211</v>
      </c>
      <c r="Y146" s="82" t="s">
        <v>211</v>
      </c>
      <c r="Z146" s="82" t="s">
        <v>211</v>
      </c>
      <c r="AA146" s="82" t="s">
        <v>211</v>
      </c>
    </row>
    <row r="147" spans="1:27">
      <c r="D147" s="24" t="s">
        <v>43</v>
      </c>
      <c r="E147" s="58" t="s">
        <v>269</v>
      </c>
      <c r="F147" s="82">
        <v>0</v>
      </c>
      <c r="G147" s="82">
        <v>0</v>
      </c>
      <c r="H147" s="82">
        <v>0</v>
      </c>
      <c r="I147" s="82">
        <v>0</v>
      </c>
      <c r="J147" s="82">
        <v>0</v>
      </c>
      <c r="K147" s="82">
        <v>0</v>
      </c>
      <c r="L147" s="82">
        <v>0</v>
      </c>
      <c r="M147" s="82">
        <v>0</v>
      </c>
      <c r="N147" s="82">
        <v>0</v>
      </c>
      <c r="O147" s="82">
        <v>0</v>
      </c>
      <c r="P147" s="82">
        <v>0</v>
      </c>
      <c r="Q147" s="82">
        <v>0</v>
      </c>
      <c r="R147" s="82">
        <v>0</v>
      </c>
      <c r="S147" s="82" t="s">
        <v>211</v>
      </c>
      <c r="T147" s="82" t="s">
        <v>211</v>
      </c>
      <c r="U147" s="82" t="s">
        <v>211</v>
      </c>
      <c r="V147" s="82" t="s">
        <v>211</v>
      </c>
      <c r="W147" s="82" t="s">
        <v>211</v>
      </c>
      <c r="X147" s="82" t="s">
        <v>211</v>
      </c>
      <c r="Y147" s="82" t="s">
        <v>211</v>
      </c>
      <c r="Z147" s="82" t="s">
        <v>211</v>
      </c>
      <c r="AA147" s="82" t="s">
        <v>211</v>
      </c>
    </row>
    <row r="148" spans="1:27">
      <c r="C148" s="23" t="s">
        <v>42</v>
      </c>
      <c r="E148" s="61"/>
      <c r="F148" s="82"/>
      <c r="G148" s="82"/>
      <c r="H148" s="82"/>
      <c r="I148" s="82"/>
      <c r="J148" s="82"/>
      <c r="K148" s="82"/>
      <c r="L148" s="82"/>
      <c r="M148" s="82"/>
      <c r="N148" s="82"/>
      <c r="O148" s="82"/>
      <c r="P148" s="82"/>
      <c r="Q148" s="82"/>
      <c r="R148" s="82"/>
      <c r="S148" s="82"/>
      <c r="T148" s="82"/>
      <c r="U148" s="82"/>
      <c r="V148" s="82"/>
      <c r="W148" s="82"/>
      <c r="X148" s="82"/>
      <c r="Y148" s="82"/>
      <c r="Z148" s="82"/>
      <c r="AA148" s="82"/>
    </row>
    <row r="149" spans="1:27">
      <c r="D149" s="11" t="s">
        <v>274</v>
      </c>
      <c r="E149" s="58" t="s">
        <v>269</v>
      </c>
      <c r="F149" s="82">
        <v>0</v>
      </c>
      <c r="G149" s="82">
        <v>0</v>
      </c>
      <c r="H149" s="82">
        <v>0</v>
      </c>
      <c r="I149" s="82">
        <v>14</v>
      </c>
      <c r="J149" s="82">
        <v>12.106999999999999</v>
      </c>
      <c r="K149" s="82">
        <v>0</v>
      </c>
      <c r="L149" s="82">
        <v>0</v>
      </c>
      <c r="M149" s="82">
        <v>0</v>
      </c>
      <c r="N149" s="82">
        <v>0</v>
      </c>
      <c r="O149" s="82">
        <v>0</v>
      </c>
      <c r="P149" s="82">
        <v>0</v>
      </c>
      <c r="Q149" s="82">
        <v>0</v>
      </c>
      <c r="R149" s="82">
        <v>0</v>
      </c>
      <c r="S149" s="82" t="s">
        <v>211</v>
      </c>
      <c r="T149" s="82" t="s">
        <v>211</v>
      </c>
      <c r="U149" s="82" t="s">
        <v>211</v>
      </c>
      <c r="V149" s="82" t="s">
        <v>211</v>
      </c>
      <c r="W149" s="82" t="s">
        <v>211</v>
      </c>
      <c r="X149" s="82" t="s">
        <v>211</v>
      </c>
      <c r="Y149" s="82" t="s">
        <v>211</v>
      </c>
      <c r="Z149" s="82" t="s">
        <v>211</v>
      </c>
      <c r="AA149" s="82" t="s">
        <v>211</v>
      </c>
    </row>
    <row r="150" spans="1:27">
      <c r="D150" s="24" t="s">
        <v>84</v>
      </c>
      <c r="E150" s="58" t="s">
        <v>269</v>
      </c>
      <c r="F150" s="82">
        <v>0</v>
      </c>
      <c r="G150" s="82">
        <v>0</v>
      </c>
      <c r="H150" s="82">
        <v>0</v>
      </c>
      <c r="I150" s="82">
        <v>0</v>
      </c>
      <c r="J150" s="82">
        <v>27.355</v>
      </c>
      <c r="K150" s="82">
        <v>0</v>
      </c>
      <c r="L150" s="82">
        <v>0</v>
      </c>
      <c r="M150" s="82">
        <v>0</v>
      </c>
      <c r="N150" s="82">
        <v>0</v>
      </c>
      <c r="O150" s="82">
        <v>0</v>
      </c>
      <c r="P150" s="82">
        <v>0</v>
      </c>
      <c r="Q150" s="82">
        <v>0</v>
      </c>
      <c r="R150" s="82">
        <v>0</v>
      </c>
      <c r="S150" s="82" t="s">
        <v>211</v>
      </c>
      <c r="T150" s="82" t="s">
        <v>211</v>
      </c>
      <c r="U150" s="82" t="s">
        <v>211</v>
      </c>
      <c r="V150" s="82" t="s">
        <v>211</v>
      </c>
      <c r="W150" s="82" t="s">
        <v>211</v>
      </c>
      <c r="X150" s="82" t="s">
        <v>211</v>
      </c>
      <c r="Y150" s="82" t="s">
        <v>211</v>
      </c>
      <c r="Z150" s="82" t="s">
        <v>211</v>
      </c>
      <c r="AA150" s="82" t="s">
        <v>211</v>
      </c>
    </row>
    <row r="151" spans="1:27">
      <c r="D151" s="24" t="s">
        <v>76</v>
      </c>
      <c r="E151" s="58" t="s">
        <v>269</v>
      </c>
      <c r="F151" s="82">
        <v>0</v>
      </c>
      <c r="G151" s="82">
        <v>0</v>
      </c>
      <c r="H151" s="82">
        <v>0</v>
      </c>
      <c r="I151" s="82">
        <v>0</v>
      </c>
      <c r="J151" s="82">
        <v>9.9990000000000006</v>
      </c>
      <c r="K151" s="82">
        <v>0</v>
      </c>
      <c r="L151" s="82">
        <v>0</v>
      </c>
      <c r="M151" s="82">
        <v>0</v>
      </c>
      <c r="N151" s="82">
        <v>0</v>
      </c>
      <c r="O151" s="82">
        <v>0</v>
      </c>
      <c r="P151" s="82">
        <v>0</v>
      </c>
      <c r="Q151" s="82">
        <v>0</v>
      </c>
      <c r="R151" s="82">
        <v>0</v>
      </c>
      <c r="S151" s="82" t="s">
        <v>211</v>
      </c>
      <c r="T151" s="82" t="s">
        <v>211</v>
      </c>
      <c r="U151" s="82" t="s">
        <v>211</v>
      </c>
      <c r="V151" s="82" t="s">
        <v>211</v>
      </c>
      <c r="W151" s="82" t="s">
        <v>211</v>
      </c>
      <c r="X151" s="82" t="s">
        <v>211</v>
      </c>
      <c r="Y151" s="82" t="s">
        <v>211</v>
      </c>
      <c r="Z151" s="82" t="s">
        <v>211</v>
      </c>
      <c r="AA151" s="82" t="s">
        <v>211</v>
      </c>
    </row>
    <row r="152" spans="1:27">
      <c r="D152" s="24" t="s">
        <v>43</v>
      </c>
      <c r="E152" s="58" t="s">
        <v>269</v>
      </c>
      <c r="F152" s="82">
        <v>0</v>
      </c>
      <c r="G152" s="82">
        <v>0</v>
      </c>
      <c r="H152" s="82">
        <v>0</v>
      </c>
      <c r="I152" s="82">
        <v>14</v>
      </c>
      <c r="J152" s="82">
        <v>49.460999999999999</v>
      </c>
      <c r="K152" s="82">
        <v>0</v>
      </c>
      <c r="L152" s="82">
        <v>0</v>
      </c>
      <c r="M152" s="82">
        <v>0</v>
      </c>
      <c r="N152" s="82">
        <v>0</v>
      </c>
      <c r="O152" s="82">
        <v>0</v>
      </c>
      <c r="P152" s="82">
        <v>0</v>
      </c>
      <c r="Q152" s="82">
        <v>0</v>
      </c>
      <c r="R152" s="82">
        <v>0</v>
      </c>
      <c r="S152" s="82" t="s">
        <v>211</v>
      </c>
      <c r="T152" s="82" t="s">
        <v>211</v>
      </c>
      <c r="U152" s="82" t="s">
        <v>211</v>
      </c>
      <c r="V152" s="82" t="s">
        <v>211</v>
      </c>
      <c r="W152" s="82" t="s">
        <v>211</v>
      </c>
      <c r="X152" s="82" t="s">
        <v>211</v>
      </c>
      <c r="Y152" s="82" t="s">
        <v>211</v>
      </c>
      <c r="Z152" s="82" t="s">
        <v>211</v>
      </c>
      <c r="AA152" s="82" t="s">
        <v>211</v>
      </c>
    </row>
    <row r="153" spans="1:27">
      <c r="C153" s="23" t="s">
        <v>43</v>
      </c>
      <c r="E153" s="61"/>
      <c r="F153" s="82"/>
      <c r="G153" s="82"/>
      <c r="H153" s="82"/>
      <c r="I153" s="82"/>
      <c r="J153" s="82"/>
      <c r="K153" s="82"/>
      <c r="L153" s="82"/>
      <c r="M153" s="82"/>
      <c r="N153" s="82"/>
      <c r="O153" s="82"/>
      <c r="P153" s="82"/>
      <c r="Q153" s="82"/>
      <c r="R153" s="82"/>
      <c r="S153" s="82"/>
      <c r="T153" s="82"/>
      <c r="U153" s="82"/>
      <c r="V153" s="82"/>
      <c r="W153" s="82"/>
      <c r="X153" s="82"/>
      <c r="Y153" s="82"/>
      <c r="Z153" s="82"/>
      <c r="AA153" s="82"/>
    </row>
    <row r="154" spans="1:27">
      <c r="D154" s="11" t="s">
        <v>274</v>
      </c>
      <c r="E154" s="58" t="s">
        <v>269</v>
      </c>
      <c r="F154" s="82">
        <v>0</v>
      </c>
      <c r="G154" s="82">
        <v>7</v>
      </c>
      <c r="H154" s="82">
        <v>21</v>
      </c>
      <c r="I154" s="82">
        <v>39</v>
      </c>
      <c r="J154" s="82">
        <v>12.106999999999999</v>
      </c>
      <c r="K154" s="82">
        <v>0</v>
      </c>
      <c r="L154" s="82">
        <v>0</v>
      </c>
      <c r="M154" s="82">
        <v>0</v>
      </c>
      <c r="N154" s="82">
        <v>0</v>
      </c>
      <c r="O154" s="82">
        <v>0</v>
      </c>
      <c r="P154" s="82">
        <v>0</v>
      </c>
      <c r="Q154" s="82">
        <v>0</v>
      </c>
      <c r="R154" s="82">
        <v>0</v>
      </c>
      <c r="S154" s="82" t="s">
        <v>211</v>
      </c>
      <c r="T154" s="82" t="s">
        <v>211</v>
      </c>
      <c r="U154" s="82" t="s">
        <v>211</v>
      </c>
      <c r="V154" s="82" t="s">
        <v>211</v>
      </c>
      <c r="W154" s="82" t="s">
        <v>211</v>
      </c>
      <c r="X154" s="82" t="s">
        <v>211</v>
      </c>
      <c r="Y154" s="82" t="s">
        <v>211</v>
      </c>
      <c r="Z154" s="82" t="s">
        <v>211</v>
      </c>
      <c r="AA154" s="82" t="s">
        <v>211</v>
      </c>
    </row>
    <row r="155" spans="1:27">
      <c r="D155" s="24" t="s">
        <v>84</v>
      </c>
      <c r="E155" s="58" t="s">
        <v>269</v>
      </c>
      <c r="F155" s="82">
        <v>0</v>
      </c>
      <c r="G155" s="82">
        <v>0</v>
      </c>
      <c r="H155" s="82">
        <v>0</v>
      </c>
      <c r="I155" s="82">
        <v>0</v>
      </c>
      <c r="J155" s="82">
        <v>27.355</v>
      </c>
      <c r="K155" s="82">
        <v>0</v>
      </c>
      <c r="L155" s="82">
        <v>0</v>
      </c>
      <c r="M155" s="82">
        <v>0</v>
      </c>
      <c r="N155" s="82">
        <v>0</v>
      </c>
      <c r="O155" s="82">
        <v>0</v>
      </c>
      <c r="P155" s="82">
        <v>0</v>
      </c>
      <c r="Q155" s="82">
        <v>0</v>
      </c>
      <c r="R155" s="82">
        <v>0</v>
      </c>
      <c r="S155" s="82" t="s">
        <v>211</v>
      </c>
      <c r="T155" s="82" t="s">
        <v>211</v>
      </c>
      <c r="U155" s="82" t="s">
        <v>211</v>
      </c>
      <c r="V155" s="82" t="s">
        <v>211</v>
      </c>
      <c r="W155" s="82" t="s">
        <v>211</v>
      </c>
      <c r="X155" s="82" t="s">
        <v>211</v>
      </c>
      <c r="Y155" s="82" t="s">
        <v>211</v>
      </c>
      <c r="Z155" s="82" t="s">
        <v>211</v>
      </c>
      <c r="AA155" s="82" t="s">
        <v>211</v>
      </c>
    </row>
    <row r="156" spans="1:27">
      <c r="D156" s="24" t="s">
        <v>76</v>
      </c>
      <c r="E156" s="58" t="s">
        <v>269</v>
      </c>
      <c r="F156" s="82">
        <v>0</v>
      </c>
      <c r="G156" s="82">
        <v>0</v>
      </c>
      <c r="H156" s="82">
        <v>0</v>
      </c>
      <c r="I156" s="82">
        <v>0</v>
      </c>
      <c r="J156" s="82">
        <v>9.9990000000000006</v>
      </c>
      <c r="K156" s="82">
        <v>0</v>
      </c>
      <c r="L156" s="82">
        <v>0</v>
      </c>
      <c r="M156" s="82">
        <v>0</v>
      </c>
      <c r="N156" s="82">
        <v>0</v>
      </c>
      <c r="O156" s="82">
        <v>0</v>
      </c>
      <c r="P156" s="82">
        <v>0</v>
      </c>
      <c r="Q156" s="82">
        <v>0</v>
      </c>
      <c r="R156" s="82">
        <v>0</v>
      </c>
      <c r="S156" s="82" t="s">
        <v>211</v>
      </c>
      <c r="T156" s="82" t="s">
        <v>211</v>
      </c>
      <c r="U156" s="82" t="s">
        <v>211</v>
      </c>
      <c r="V156" s="82" t="s">
        <v>211</v>
      </c>
      <c r="W156" s="82" t="s">
        <v>211</v>
      </c>
      <c r="X156" s="82" t="s">
        <v>211</v>
      </c>
      <c r="Y156" s="82" t="s">
        <v>211</v>
      </c>
      <c r="Z156" s="82" t="s">
        <v>211</v>
      </c>
      <c r="AA156" s="82" t="s">
        <v>211</v>
      </c>
    </row>
    <row r="157" spans="1:27">
      <c r="D157" s="24" t="s">
        <v>43</v>
      </c>
      <c r="E157" s="58" t="s">
        <v>269</v>
      </c>
      <c r="F157" s="82">
        <v>0</v>
      </c>
      <c r="G157" s="82">
        <v>7</v>
      </c>
      <c r="H157" s="82">
        <v>21</v>
      </c>
      <c r="I157" s="82">
        <v>39</v>
      </c>
      <c r="J157" s="82">
        <v>49.460999999999999</v>
      </c>
      <c r="K157" s="82">
        <v>0</v>
      </c>
      <c r="L157" s="82">
        <v>0</v>
      </c>
      <c r="M157" s="82">
        <v>0</v>
      </c>
      <c r="N157" s="82">
        <v>0</v>
      </c>
      <c r="O157" s="82">
        <v>0</v>
      </c>
      <c r="P157" s="82">
        <v>0</v>
      </c>
      <c r="Q157" s="82">
        <v>0</v>
      </c>
      <c r="R157" s="82">
        <v>0</v>
      </c>
      <c r="S157" s="82" t="s">
        <v>211</v>
      </c>
      <c r="T157" s="82" t="s">
        <v>211</v>
      </c>
      <c r="U157" s="82" t="s">
        <v>211</v>
      </c>
      <c r="V157" s="82" t="s">
        <v>211</v>
      </c>
      <c r="W157" s="82" t="s">
        <v>211</v>
      </c>
      <c r="X157" s="82" t="s">
        <v>211</v>
      </c>
      <c r="Y157" s="82" t="s">
        <v>211</v>
      </c>
      <c r="Z157" s="82" t="s">
        <v>211</v>
      </c>
      <c r="AA157" s="82" t="s">
        <v>211</v>
      </c>
    </row>
    <row r="158" spans="1:27">
      <c r="A158" t="s">
        <v>2</v>
      </c>
      <c r="E158" s="61"/>
      <c r="F158" s="82"/>
      <c r="G158" s="82"/>
      <c r="H158" s="82"/>
      <c r="I158" s="82"/>
      <c r="J158" s="82"/>
      <c r="K158" s="82"/>
      <c r="L158" s="82"/>
      <c r="M158" s="82"/>
      <c r="N158" s="82"/>
      <c r="O158" s="82"/>
      <c r="P158" s="82"/>
      <c r="Q158" s="82"/>
      <c r="R158" s="82"/>
      <c r="S158" s="82"/>
      <c r="T158" s="82"/>
      <c r="U158" s="82"/>
      <c r="V158" s="82"/>
      <c r="W158" s="82"/>
      <c r="X158" s="82"/>
      <c r="Y158" s="82"/>
      <c r="Z158" s="82"/>
      <c r="AA158" s="82"/>
    </row>
    <row r="159" spans="1:27">
      <c r="B159" s="23" t="s">
        <v>69</v>
      </c>
      <c r="E159" s="61"/>
      <c r="F159" s="82"/>
      <c r="G159" s="82"/>
      <c r="H159" s="82"/>
      <c r="I159" s="82"/>
      <c r="J159" s="82"/>
      <c r="K159" s="82"/>
      <c r="L159" s="82"/>
      <c r="M159" s="82"/>
      <c r="N159" s="82"/>
      <c r="O159" s="82"/>
      <c r="P159" s="82"/>
      <c r="Q159" s="82"/>
      <c r="R159" s="82"/>
      <c r="S159" s="82"/>
      <c r="T159" s="82"/>
      <c r="U159" s="82"/>
      <c r="V159" s="82"/>
      <c r="W159" s="82"/>
      <c r="X159" s="82"/>
      <c r="Y159" s="82"/>
      <c r="Z159" s="82"/>
      <c r="AA159" s="82"/>
    </row>
    <row r="160" spans="1:27">
      <c r="C160" s="23" t="s">
        <v>42</v>
      </c>
      <c r="E160" s="61"/>
      <c r="F160" s="82"/>
      <c r="G160" s="82"/>
      <c r="H160" s="82"/>
      <c r="I160" s="82"/>
      <c r="J160" s="82"/>
      <c r="K160" s="82"/>
      <c r="L160" s="82"/>
      <c r="M160" s="82"/>
      <c r="N160" s="82"/>
      <c r="O160" s="82"/>
      <c r="P160" s="82"/>
      <c r="Q160" s="82"/>
      <c r="R160" s="82"/>
      <c r="S160" s="82"/>
      <c r="T160" s="82"/>
      <c r="U160" s="82"/>
      <c r="V160" s="82"/>
      <c r="W160" s="82"/>
      <c r="X160" s="82"/>
    </row>
    <row r="161" spans="1:27">
      <c r="D161" s="11" t="s">
        <v>274</v>
      </c>
      <c r="E161" s="58" t="s">
        <v>269</v>
      </c>
      <c r="F161" s="82">
        <v>129.24199999999999</v>
      </c>
      <c r="G161" s="82">
        <v>46.438000000000002</v>
      </c>
      <c r="H161" s="82">
        <v>16.402515999999999</v>
      </c>
      <c r="I161" s="82">
        <v>0</v>
      </c>
      <c r="J161" s="82">
        <v>0</v>
      </c>
      <c r="K161" s="82">
        <v>0</v>
      </c>
      <c r="L161" s="82">
        <v>0</v>
      </c>
      <c r="M161" s="82">
        <v>0</v>
      </c>
      <c r="N161" s="82" t="s">
        <v>211</v>
      </c>
      <c r="O161" s="82" t="s">
        <v>211</v>
      </c>
      <c r="P161" s="82" t="s">
        <v>211</v>
      </c>
      <c r="Q161" s="82" t="s">
        <v>211</v>
      </c>
      <c r="R161" s="82" t="s">
        <v>211</v>
      </c>
      <c r="S161" s="82" t="s">
        <v>211</v>
      </c>
      <c r="T161" s="82" t="s">
        <v>211</v>
      </c>
      <c r="U161" s="82" t="s">
        <v>211</v>
      </c>
      <c r="V161" s="82" t="s">
        <v>211</v>
      </c>
      <c r="W161" s="82" t="s">
        <v>211</v>
      </c>
      <c r="X161" s="82" t="s">
        <v>211</v>
      </c>
      <c r="Y161" s="82" t="s">
        <v>211</v>
      </c>
      <c r="Z161" s="82" t="s">
        <v>211</v>
      </c>
      <c r="AA161" s="82" t="s">
        <v>211</v>
      </c>
    </row>
    <row r="162" spans="1:27">
      <c r="D162" s="24" t="s">
        <v>84</v>
      </c>
      <c r="E162" s="58" t="s">
        <v>269</v>
      </c>
      <c r="F162" s="82">
        <v>31.056000000000001</v>
      </c>
      <c r="G162" s="82">
        <v>7.3140000000000001</v>
      </c>
      <c r="H162" s="82">
        <v>5.8116760000000003</v>
      </c>
      <c r="I162" s="82">
        <v>0</v>
      </c>
      <c r="J162" s="82">
        <v>0</v>
      </c>
      <c r="K162" s="82">
        <v>0</v>
      </c>
      <c r="L162" s="82">
        <v>0</v>
      </c>
      <c r="M162" s="82">
        <v>0</v>
      </c>
      <c r="N162" s="82" t="s">
        <v>211</v>
      </c>
      <c r="O162" s="82" t="s">
        <v>211</v>
      </c>
      <c r="P162" s="82" t="s">
        <v>211</v>
      </c>
      <c r="Q162" s="82" t="s">
        <v>211</v>
      </c>
      <c r="R162" s="82" t="s">
        <v>211</v>
      </c>
      <c r="S162" s="82" t="s">
        <v>211</v>
      </c>
      <c r="T162" s="82" t="s">
        <v>211</v>
      </c>
      <c r="U162" s="82" t="s">
        <v>211</v>
      </c>
      <c r="V162" s="82" t="s">
        <v>211</v>
      </c>
      <c r="W162" s="82" t="s">
        <v>211</v>
      </c>
      <c r="X162" s="82" t="s">
        <v>211</v>
      </c>
      <c r="Y162" s="82" t="s">
        <v>211</v>
      </c>
      <c r="Z162" s="82" t="s">
        <v>211</v>
      </c>
      <c r="AA162" s="82" t="s">
        <v>211</v>
      </c>
    </row>
    <row r="163" spans="1:27">
      <c r="D163" s="24" t="s">
        <v>76</v>
      </c>
      <c r="E163" s="58" t="s">
        <v>269</v>
      </c>
      <c r="F163" s="82">
        <v>8.2799999999999994</v>
      </c>
      <c r="G163" s="82">
        <v>4.2690000000000001</v>
      </c>
      <c r="H163" s="82">
        <v>6.5329160000000002</v>
      </c>
      <c r="I163" s="82">
        <v>0</v>
      </c>
      <c r="J163" s="82">
        <v>0</v>
      </c>
      <c r="K163" s="82">
        <v>0</v>
      </c>
      <c r="L163" s="82">
        <v>0</v>
      </c>
      <c r="M163" s="82">
        <v>0</v>
      </c>
      <c r="N163" s="82" t="s">
        <v>211</v>
      </c>
      <c r="O163" s="82" t="s">
        <v>211</v>
      </c>
      <c r="P163" s="82" t="s">
        <v>211</v>
      </c>
      <c r="Q163" s="82" t="s">
        <v>211</v>
      </c>
      <c r="R163" s="82" t="s">
        <v>211</v>
      </c>
      <c r="S163" s="82" t="s">
        <v>211</v>
      </c>
      <c r="T163" s="82" t="s">
        <v>211</v>
      </c>
      <c r="U163" s="82" t="s">
        <v>211</v>
      </c>
      <c r="V163" s="82" t="s">
        <v>211</v>
      </c>
      <c r="W163" s="82" t="s">
        <v>211</v>
      </c>
      <c r="X163" s="82" t="s">
        <v>211</v>
      </c>
      <c r="Y163" s="82" t="s">
        <v>211</v>
      </c>
      <c r="Z163" s="82" t="s">
        <v>211</v>
      </c>
      <c r="AA163" s="82" t="s">
        <v>211</v>
      </c>
    </row>
    <row r="164" spans="1:27">
      <c r="D164" s="24" t="s">
        <v>43</v>
      </c>
      <c r="E164" s="58" t="s">
        <v>269</v>
      </c>
      <c r="F164" s="82">
        <v>168.578</v>
      </c>
      <c r="G164" s="82">
        <v>58.021000000000001</v>
      </c>
      <c r="H164" s="82">
        <v>28.747108000000001</v>
      </c>
      <c r="I164" s="82">
        <v>0</v>
      </c>
      <c r="J164" s="82">
        <v>0</v>
      </c>
      <c r="K164" s="82">
        <v>0</v>
      </c>
      <c r="L164" s="82">
        <v>0</v>
      </c>
      <c r="M164" s="82">
        <v>0</v>
      </c>
      <c r="N164" s="82" t="s">
        <v>211</v>
      </c>
      <c r="O164" s="82" t="s">
        <v>211</v>
      </c>
      <c r="P164" s="82" t="s">
        <v>211</v>
      </c>
      <c r="Q164" s="82" t="s">
        <v>211</v>
      </c>
      <c r="R164" s="82" t="s">
        <v>211</v>
      </c>
      <c r="S164" s="82" t="s">
        <v>211</v>
      </c>
      <c r="T164" s="82" t="s">
        <v>211</v>
      </c>
      <c r="U164" s="82" t="s">
        <v>211</v>
      </c>
      <c r="V164" s="82" t="s">
        <v>211</v>
      </c>
      <c r="W164" s="82" t="s">
        <v>211</v>
      </c>
      <c r="X164" s="82" t="s">
        <v>211</v>
      </c>
      <c r="Y164" s="82" t="s">
        <v>211</v>
      </c>
      <c r="Z164" s="82" t="s">
        <v>211</v>
      </c>
      <c r="AA164" s="82" t="s">
        <v>211</v>
      </c>
    </row>
    <row r="165" spans="1:27">
      <c r="A165" t="s">
        <v>2</v>
      </c>
      <c r="E165" s="61"/>
      <c r="F165" s="82"/>
      <c r="G165" s="82"/>
      <c r="H165" s="82"/>
      <c r="I165" s="82"/>
      <c r="J165" s="82"/>
      <c r="K165" s="82"/>
      <c r="L165" s="82"/>
      <c r="M165" s="82"/>
      <c r="N165" s="82"/>
      <c r="O165" s="82"/>
      <c r="P165" s="82"/>
      <c r="Q165" s="82"/>
      <c r="R165" s="82"/>
      <c r="S165" s="82"/>
      <c r="T165" s="82"/>
      <c r="U165" s="82"/>
      <c r="V165" s="82"/>
      <c r="W165" s="82"/>
      <c r="X165" s="82"/>
    </row>
    <row r="166" spans="1:27">
      <c r="B166" s="23" t="s">
        <v>70</v>
      </c>
      <c r="E166" s="61"/>
      <c r="F166" s="82"/>
      <c r="G166" s="82"/>
      <c r="H166" s="82"/>
      <c r="I166" s="82"/>
      <c r="J166" s="82"/>
      <c r="K166" s="82"/>
      <c r="L166" s="82"/>
      <c r="M166" s="82"/>
      <c r="N166" s="82"/>
      <c r="O166" s="82"/>
      <c r="P166" s="82"/>
      <c r="Q166" s="82"/>
      <c r="R166" s="82"/>
      <c r="S166" s="82"/>
      <c r="T166" s="82"/>
      <c r="U166" s="82"/>
      <c r="V166" s="82"/>
      <c r="W166" s="82"/>
      <c r="X166" s="82"/>
    </row>
    <row r="167" spans="1:27">
      <c r="C167" s="23" t="s">
        <v>82</v>
      </c>
      <c r="E167" s="61"/>
      <c r="F167" s="82"/>
      <c r="G167" s="82"/>
      <c r="H167" s="82"/>
      <c r="I167" s="82"/>
      <c r="J167" s="82"/>
      <c r="K167" s="82"/>
      <c r="L167" s="82"/>
      <c r="M167" s="82"/>
      <c r="N167" s="82"/>
      <c r="O167" s="82"/>
      <c r="P167" s="82"/>
      <c r="Q167" s="82"/>
      <c r="R167" s="82"/>
      <c r="S167" s="82"/>
      <c r="T167" s="82"/>
      <c r="U167" s="82"/>
      <c r="V167" s="82"/>
      <c r="W167" s="82"/>
      <c r="X167" s="82"/>
    </row>
    <row r="168" spans="1:27">
      <c r="D168" s="11" t="s">
        <v>274</v>
      </c>
      <c r="E168" s="58" t="s">
        <v>269</v>
      </c>
      <c r="F168" s="82">
        <v>3542.5272480735298</v>
      </c>
      <c r="G168" s="82">
        <v>3444.23031880089</v>
      </c>
      <c r="H168" s="82">
        <v>3320.4973750735398</v>
      </c>
      <c r="I168" s="82">
        <v>3204.2981266105098</v>
      </c>
      <c r="J168" s="82">
        <v>2938.70918084614</v>
      </c>
      <c r="K168" s="82">
        <v>2966.1958259037801</v>
      </c>
      <c r="L168" s="82">
        <v>2640.05386971503</v>
      </c>
      <c r="M168" s="82">
        <v>2494.5117422552498</v>
      </c>
      <c r="N168" s="82">
        <v>2250.5660332915199</v>
      </c>
      <c r="O168" s="82">
        <v>2217.6308648915201</v>
      </c>
      <c r="P168" s="82">
        <v>1875.9399487000001</v>
      </c>
      <c r="Q168" s="82">
        <v>1779.59209533496</v>
      </c>
      <c r="R168" s="82">
        <v>1786.40851275468</v>
      </c>
      <c r="S168" s="82">
        <v>1968.4103745329001</v>
      </c>
      <c r="T168" s="82">
        <v>2011.9841280000001</v>
      </c>
      <c r="U168" s="82">
        <v>1872.9129385825299</v>
      </c>
      <c r="V168" s="82">
        <v>1840.3907130989001</v>
      </c>
      <c r="W168" s="82">
        <v>1473.77179486558</v>
      </c>
      <c r="X168" s="82">
        <v>1450.5838257288301</v>
      </c>
      <c r="Y168" s="82">
        <v>1431.9737490683599</v>
      </c>
      <c r="Z168" s="82">
        <v>1085.8299404325301</v>
      </c>
      <c r="AA168" s="82">
        <v>1184.0552576510299</v>
      </c>
    </row>
    <row r="169" spans="1:27">
      <c r="D169" s="24" t="s">
        <v>84</v>
      </c>
      <c r="E169" s="58" t="s">
        <v>269</v>
      </c>
      <c r="F169" s="82">
        <v>6604.7100799999998</v>
      </c>
      <c r="G169" s="82">
        <v>6461.6909074074101</v>
      </c>
      <c r="H169" s="82">
        <v>6353.9301500000001</v>
      </c>
      <c r="I169" s="82">
        <v>5179.9229999999998</v>
      </c>
      <c r="J169" s="82">
        <v>5359.82402</v>
      </c>
      <c r="K169" s="82">
        <v>5773.3680100000001</v>
      </c>
      <c r="L169" s="82">
        <v>4943.5591899999999</v>
      </c>
      <c r="M169" s="82">
        <v>3944.203458</v>
      </c>
      <c r="N169" s="82">
        <v>3897.2333819999999</v>
      </c>
      <c r="O169" s="82">
        <v>2037.2576707999999</v>
      </c>
      <c r="P169" s="82">
        <v>1661.3092763</v>
      </c>
      <c r="Q169" s="82">
        <v>1962.0111549999999</v>
      </c>
      <c r="R169" s="82">
        <v>1906.324036</v>
      </c>
      <c r="S169" s="82">
        <v>1835.1963909999999</v>
      </c>
      <c r="T169" s="82">
        <v>1965.3728639999999</v>
      </c>
      <c r="U169" s="82">
        <v>2037.5695470000001</v>
      </c>
      <c r="V169" s="82">
        <v>1863.9996510000001</v>
      </c>
      <c r="W169" s="82">
        <v>1896.1302390000001</v>
      </c>
      <c r="X169" s="82">
        <v>1705.9315383703699</v>
      </c>
      <c r="Y169" s="82">
        <v>1760.58544835205</v>
      </c>
      <c r="Z169" s="82">
        <v>1099.559563</v>
      </c>
      <c r="AA169" s="82">
        <v>1022.90678685185</v>
      </c>
    </row>
    <row r="170" spans="1:27">
      <c r="D170" s="24" t="s">
        <v>76</v>
      </c>
      <c r="E170" s="58" t="s">
        <v>269</v>
      </c>
      <c r="F170" s="82">
        <v>166.80859783766999</v>
      </c>
      <c r="G170" s="82">
        <v>184.372572843999</v>
      </c>
      <c r="H170" s="82">
        <v>191.984572700249</v>
      </c>
      <c r="I170" s="82">
        <v>191.20338045024999</v>
      </c>
      <c r="J170" s="82">
        <v>252.10919642111</v>
      </c>
      <c r="K170" s="82">
        <v>200.60450783132001</v>
      </c>
      <c r="L170" s="82">
        <v>155.0676</v>
      </c>
      <c r="M170" s="82">
        <v>150.306917</v>
      </c>
      <c r="N170" s="82">
        <v>178.50740400000001</v>
      </c>
      <c r="O170" s="82">
        <v>227.49812499999999</v>
      </c>
      <c r="P170" s="82">
        <v>210.63428300000001</v>
      </c>
      <c r="Q170" s="82">
        <v>188.42128161539</v>
      </c>
      <c r="R170" s="82">
        <v>206.97803069231</v>
      </c>
      <c r="S170" s="82">
        <v>154.481839385</v>
      </c>
      <c r="T170" s="82">
        <v>177.6853907</v>
      </c>
      <c r="U170" s="82">
        <v>182.57601299999999</v>
      </c>
      <c r="V170" s="82">
        <v>163.79052100000001</v>
      </c>
      <c r="W170" s="82">
        <v>176.157768</v>
      </c>
      <c r="X170" s="82">
        <v>171.10632709021999</v>
      </c>
      <c r="Y170" s="82">
        <v>164.10343014716</v>
      </c>
      <c r="Z170" s="82">
        <v>223.59540200000001</v>
      </c>
      <c r="AA170" s="82">
        <v>173.47016877778</v>
      </c>
    </row>
    <row r="171" spans="1:27">
      <c r="D171" s="24" t="s">
        <v>43</v>
      </c>
      <c r="E171" s="58" t="s">
        <v>269</v>
      </c>
      <c r="F171" s="82">
        <v>10314.045925911199</v>
      </c>
      <c r="G171" s="82">
        <v>10090.293799052301</v>
      </c>
      <c r="H171" s="82">
        <v>9866.4120977737894</v>
      </c>
      <c r="I171" s="82">
        <v>8575.4245070607594</v>
      </c>
      <c r="J171" s="82">
        <v>8550.6423972672492</v>
      </c>
      <c r="K171" s="82">
        <v>8940.1683437351003</v>
      </c>
      <c r="L171" s="82">
        <v>7738.6806597150298</v>
      </c>
      <c r="M171" s="82">
        <v>6589.0221172552501</v>
      </c>
      <c r="N171" s="82">
        <v>6326.3068192915198</v>
      </c>
      <c r="O171" s="82">
        <v>4482.3866606915199</v>
      </c>
      <c r="P171" s="82">
        <v>3747.8835079999999</v>
      </c>
      <c r="Q171" s="82">
        <v>3930.0245319503501</v>
      </c>
      <c r="R171" s="82">
        <v>3899.7105794469899</v>
      </c>
      <c r="S171" s="82">
        <v>3958.0886049178998</v>
      </c>
      <c r="T171" s="82">
        <v>4155.0423827000004</v>
      </c>
      <c r="U171" s="82">
        <v>4093.0584985825299</v>
      </c>
      <c r="V171" s="82">
        <v>3868.1808850989</v>
      </c>
      <c r="W171" s="82">
        <v>3546.0598018655801</v>
      </c>
      <c r="X171" s="82">
        <v>3327.6216911894198</v>
      </c>
      <c r="Y171" s="82">
        <v>3356.6626275675699</v>
      </c>
      <c r="Z171" s="82">
        <v>2408.98490543253</v>
      </c>
      <c r="AA171" s="82">
        <v>2380.4322132806601</v>
      </c>
    </row>
    <row r="172" spans="1:27">
      <c r="C172" s="23" t="s">
        <v>83</v>
      </c>
      <c r="E172" s="61"/>
      <c r="F172" s="82"/>
      <c r="G172" s="82"/>
      <c r="H172" s="82"/>
      <c r="I172" s="82"/>
      <c r="J172" s="82"/>
      <c r="K172" s="82"/>
      <c r="L172" s="82"/>
      <c r="M172" s="82"/>
      <c r="N172" s="82"/>
      <c r="O172" s="82"/>
      <c r="P172" s="82"/>
      <c r="Q172" s="82"/>
      <c r="R172" s="82"/>
      <c r="S172" s="82"/>
      <c r="T172" s="82"/>
      <c r="U172" s="82"/>
      <c r="V172" s="82"/>
      <c r="W172" s="82"/>
      <c r="X172" s="82"/>
      <c r="Y172" s="82"/>
      <c r="Z172" s="82"/>
      <c r="AA172" s="82"/>
    </row>
    <row r="173" spans="1:27">
      <c r="D173" s="11" t="s">
        <v>274</v>
      </c>
      <c r="E173" s="58" t="s">
        <v>269</v>
      </c>
      <c r="F173" s="82">
        <v>153.1422</v>
      </c>
      <c r="G173" s="82">
        <v>176.90551851851899</v>
      </c>
      <c r="H173" s="82">
        <v>272.91800000000001</v>
      </c>
      <c r="I173" s="82">
        <v>207.83</v>
      </c>
      <c r="J173" s="82">
        <v>158.760999629021</v>
      </c>
      <c r="K173" s="82">
        <v>186.05199999999999</v>
      </c>
      <c r="L173" s="82">
        <v>167.679</v>
      </c>
      <c r="M173" s="82">
        <v>135.794476</v>
      </c>
      <c r="N173" s="82">
        <v>114.060614</v>
      </c>
      <c r="O173" s="82">
        <v>67.880257</v>
      </c>
      <c r="P173" s="82">
        <v>113.36075599999999</v>
      </c>
      <c r="Q173" s="82">
        <v>190.360209</v>
      </c>
      <c r="R173" s="82">
        <v>269.49976900000001</v>
      </c>
      <c r="S173" s="82">
        <v>186.70158494117601</v>
      </c>
      <c r="T173" s="82">
        <v>477.98745100000002</v>
      </c>
      <c r="U173" s="82">
        <v>809.73333500000001</v>
      </c>
      <c r="V173" s="82">
        <v>671.33741599999996</v>
      </c>
      <c r="W173" s="82">
        <v>440.94724198689499</v>
      </c>
      <c r="X173" s="82">
        <v>603.18671662962902</v>
      </c>
      <c r="Y173" s="82">
        <v>561.15611200000001</v>
      </c>
      <c r="Z173" s="82">
        <v>689.15203499999996</v>
      </c>
      <c r="AA173" s="82">
        <v>322.717127</v>
      </c>
    </row>
    <row r="174" spans="1:27">
      <c r="D174" s="24" t="s">
        <v>84</v>
      </c>
      <c r="E174" s="58" t="s">
        <v>269</v>
      </c>
      <c r="F174" s="82">
        <v>1435.3349499999999</v>
      </c>
      <c r="G174" s="82">
        <v>1633.1591481481501</v>
      </c>
      <c r="H174" s="82">
        <v>2649.3989999999999</v>
      </c>
      <c r="I174" s="82">
        <v>3554.4409999999998</v>
      </c>
      <c r="J174" s="82">
        <v>3878.2820693743902</v>
      </c>
      <c r="K174" s="82">
        <v>4065.1149999999998</v>
      </c>
      <c r="L174" s="82">
        <v>4568.6019999999999</v>
      </c>
      <c r="M174" s="82">
        <v>4412.2072669999998</v>
      </c>
      <c r="N174" s="82">
        <v>5098.5611360000003</v>
      </c>
      <c r="O174" s="82">
        <v>4981.2625239999998</v>
      </c>
      <c r="P174" s="82">
        <v>5380.8785922779298</v>
      </c>
      <c r="Q174" s="82">
        <v>6772.1044762685697</v>
      </c>
      <c r="R174" s="82">
        <v>8189.6796843580696</v>
      </c>
      <c r="S174" s="82">
        <v>9590.4250758349499</v>
      </c>
      <c r="T174" s="82">
        <v>10878.26615978</v>
      </c>
      <c r="U174" s="82">
        <v>10451.6574599</v>
      </c>
      <c r="V174" s="82">
        <v>10904.019915000001</v>
      </c>
      <c r="W174" s="82">
        <v>7860.1907490000003</v>
      </c>
      <c r="X174" s="82">
        <v>6325.5198374828697</v>
      </c>
      <c r="Y174" s="82">
        <v>7082.8451834347798</v>
      </c>
      <c r="Z174" s="82">
        <v>7740.8201035198499</v>
      </c>
      <c r="AA174" s="82">
        <v>6593.7967865658102</v>
      </c>
    </row>
    <row r="175" spans="1:27">
      <c r="D175" s="24" t="s">
        <v>76</v>
      </c>
      <c r="E175" s="58" t="s">
        <v>269</v>
      </c>
      <c r="F175" s="82">
        <v>5.74950000000013</v>
      </c>
      <c r="G175" s="82">
        <v>8.9588999999998595</v>
      </c>
      <c r="H175" s="82">
        <v>14.096</v>
      </c>
      <c r="I175" s="82">
        <v>17.0590000000002</v>
      </c>
      <c r="J175" s="82">
        <v>14.731999999999999</v>
      </c>
      <c r="K175" s="82">
        <v>19.253999999999898</v>
      </c>
      <c r="L175" s="82">
        <v>10.154000000000501</v>
      </c>
      <c r="M175" s="82">
        <v>7.1589990000002199</v>
      </c>
      <c r="N175" s="82">
        <v>11.5904989999999</v>
      </c>
      <c r="O175" s="82">
        <v>16.689868000000398</v>
      </c>
      <c r="P175" s="82">
        <v>11.3795559999999</v>
      </c>
      <c r="Q175" s="82">
        <v>6.7227020000000302</v>
      </c>
      <c r="R175" s="82">
        <v>2.01146400001016</v>
      </c>
      <c r="S175" s="82">
        <v>1.75476899999921</v>
      </c>
      <c r="T175" s="82">
        <v>5.9159580000014103</v>
      </c>
      <c r="U175" s="82">
        <v>4.8466289999996697</v>
      </c>
      <c r="V175" s="82">
        <v>14.2364269999998</v>
      </c>
      <c r="W175" s="82">
        <v>42.050723000000303</v>
      </c>
      <c r="X175" s="82">
        <v>75.090476609019802</v>
      </c>
      <c r="Y175" s="82">
        <v>58.443845599999797</v>
      </c>
      <c r="Z175" s="82">
        <v>55.971866490729603</v>
      </c>
      <c r="AA175" s="82">
        <v>216.83467074073999</v>
      </c>
    </row>
    <row r="176" spans="1:27">
      <c r="D176" s="24" t="s">
        <v>43</v>
      </c>
      <c r="E176" s="58" t="s">
        <v>269</v>
      </c>
      <c r="F176" s="82">
        <v>1594.2266500000001</v>
      </c>
      <c r="G176" s="82">
        <v>1819.0235666666699</v>
      </c>
      <c r="H176" s="82">
        <v>2936.413</v>
      </c>
      <c r="I176" s="82">
        <v>3779.33</v>
      </c>
      <c r="J176" s="82">
        <v>4051.77506900341</v>
      </c>
      <c r="K176" s="82">
        <v>4270.4210000000003</v>
      </c>
      <c r="L176" s="82">
        <v>4746.4350000000004</v>
      </c>
      <c r="M176" s="82">
        <v>4555.160742</v>
      </c>
      <c r="N176" s="82">
        <v>5224.2122490000002</v>
      </c>
      <c r="O176" s="82">
        <v>5065.8326489999999</v>
      </c>
      <c r="P176" s="82">
        <v>5505.6189042779297</v>
      </c>
      <c r="Q176" s="82">
        <v>6969.1873872685701</v>
      </c>
      <c r="R176" s="82">
        <v>8461.1909173580807</v>
      </c>
      <c r="S176" s="82">
        <v>9778.8814297761292</v>
      </c>
      <c r="T176" s="82">
        <v>11362.16956878</v>
      </c>
      <c r="U176" s="82">
        <v>11266.2374239</v>
      </c>
      <c r="V176" s="82">
        <v>11589.593758000001</v>
      </c>
      <c r="W176" s="82">
        <v>8343.1887139868995</v>
      </c>
      <c r="X176" s="82">
        <v>7003.7970307215201</v>
      </c>
      <c r="Y176" s="82">
        <v>7702.4451410347801</v>
      </c>
      <c r="Z176" s="82">
        <v>8485.9440050105804</v>
      </c>
      <c r="AA176" s="82">
        <v>7133.34858430655</v>
      </c>
    </row>
    <row r="177" spans="1:27">
      <c r="C177" s="23" t="s">
        <v>42</v>
      </c>
      <c r="E177" s="61"/>
      <c r="F177" s="82"/>
      <c r="G177" s="82"/>
      <c r="H177" s="82"/>
      <c r="I177" s="82"/>
      <c r="J177" s="82"/>
      <c r="K177" s="82"/>
      <c r="L177" s="82"/>
      <c r="M177" s="82"/>
      <c r="N177" s="82"/>
      <c r="O177" s="82"/>
      <c r="P177" s="82"/>
      <c r="Q177" s="82"/>
      <c r="R177" s="82"/>
      <c r="S177" s="82"/>
      <c r="T177" s="82"/>
      <c r="U177" s="82"/>
      <c r="V177" s="82"/>
      <c r="W177" s="82"/>
      <c r="X177" s="82"/>
      <c r="Y177" s="82"/>
      <c r="Z177" s="82"/>
      <c r="AA177" s="82"/>
    </row>
    <row r="178" spans="1:27">
      <c r="D178" s="11" t="s">
        <v>422</v>
      </c>
      <c r="E178" s="58" t="s">
        <v>269</v>
      </c>
      <c r="F178" s="82">
        <v>8557.0490900000004</v>
      </c>
      <c r="G178" s="82">
        <v>9143.3217824296298</v>
      </c>
      <c r="H178" s="82">
        <v>9120.6251607469203</v>
      </c>
      <c r="I178" s="82">
        <v>9383.8937148301102</v>
      </c>
      <c r="J178" s="82">
        <v>9477.0696880206906</v>
      </c>
      <c r="K178" s="82">
        <v>9631.4542371297302</v>
      </c>
      <c r="L178" s="82">
        <v>8551.7290451094996</v>
      </c>
      <c r="M178" s="82">
        <v>9524.9342301644501</v>
      </c>
      <c r="N178" s="82">
        <v>8987.7498991874309</v>
      </c>
      <c r="O178" s="82">
        <v>8282.3557384851192</v>
      </c>
      <c r="P178" s="82">
        <v>8302.3956341500507</v>
      </c>
      <c r="Q178" s="82">
        <v>9280.6654043599992</v>
      </c>
      <c r="R178" s="82">
        <v>9708.6127134330709</v>
      </c>
      <c r="S178" s="82">
        <v>10155.177679414001</v>
      </c>
      <c r="T178" s="82">
        <v>10856.3659284974</v>
      </c>
      <c r="U178" s="82">
        <v>10840.456437238699</v>
      </c>
      <c r="V178" s="82">
        <v>10352.214899581801</v>
      </c>
      <c r="W178" s="82">
        <v>10654.361443223799</v>
      </c>
      <c r="X178" s="82">
        <v>10011.9684395243</v>
      </c>
      <c r="Y178" s="82">
        <v>8667.26521384843</v>
      </c>
      <c r="Z178" s="82">
        <v>7995.2194505613397</v>
      </c>
      <c r="AA178" s="82">
        <v>7736.0814673831601</v>
      </c>
    </row>
    <row r="179" spans="1:27">
      <c r="D179" s="24" t="s">
        <v>84</v>
      </c>
      <c r="E179" s="58" t="s">
        <v>269</v>
      </c>
      <c r="F179" s="82">
        <v>4976.6259099999997</v>
      </c>
      <c r="G179" s="82">
        <v>5101.9235110740701</v>
      </c>
      <c r="H179" s="82">
        <v>4728.2610329999998</v>
      </c>
      <c r="I179" s="82">
        <v>4580.4358493</v>
      </c>
      <c r="J179" s="82">
        <v>4626.1515046763097</v>
      </c>
      <c r="K179" s="82">
        <v>5125.8816699999998</v>
      </c>
      <c r="L179" s="82">
        <v>4370.431208</v>
      </c>
      <c r="M179" s="82">
        <v>4499.2361090000004</v>
      </c>
      <c r="N179" s="82">
        <v>5632.0930626666704</v>
      </c>
      <c r="O179" s="82">
        <v>5282.8246950000002</v>
      </c>
      <c r="P179" s="82">
        <v>4897.6309149999997</v>
      </c>
      <c r="Q179" s="82">
        <v>4717.6757600000001</v>
      </c>
      <c r="R179" s="82">
        <v>4900.2505323434398</v>
      </c>
      <c r="S179" s="82">
        <v>5857.8575790985496</v>
      </c>
      <c r="T179" s="82">
        <v>6517.04675983787</v>
      </c>
      <c r="U179" s="82">
        <v>6347.2577752301804</v>
      </c>
      <c r="V179" s="82">
        <v>6340.9156386127197</v>
      </c>
      <c r="W179" s="82">
        <v>6402.7412791881497</v>
      </c>
      <c r="X179" s="82">
        <v>6177.0184430194104</v>
      </c>
      <c r="Y179" s="82">
        <v>5799.3314255386103</v>
      </c>
      <c r="Z179" s="82">
        <v>5564.77847630215</v>
      </c>
      <c r="AA179" s="82">
        <v>5696.7185443570897</v>
      </c>
    </row>
    <row r="180" spans="1:27">
      <c r="D180" s="24" t="s">
        <v>76</v>
      </c>
      <c r="E180" s="58" t="s">
        <v>269</v>
      </c>
      <c r="F180" s="82">
        <v>377.07821999999999</v>
      </c>
      <c r="G180" s="82">
        <v>343.39748400000002</v>
      </c>
      <c r="H180" s="82">
        <v>346.64658537634398</v>
      </c>
      <c r="I180" s="82">
        <v>415.0715065</v>
      </c>
      <c r="J180" s="82">
        <v>486.36739408453002</v>
      </c>
      <c r="K180" s="82">
        <v>399.83259099999998</v>
      </c>
      <c r="L180" s="82">
        <v>391.52741700000001</v>
      </c>
      <c r="M180" s="82">
        <v>394.326055</v>
      </c>
      <c r="N180" s="82">
        <v>361.22974999999701</v>
      </c>
      <c r="O180" s="82">
        <v>383.48046200000198</v>
      </c>
      <c r="P180" s="82">
        <v>418.25708419999802</v>
      </c>
      <c r="Q180" s="82">
        <v>368.50280600000002</v>
      </c>
      <c r="R180" s="82">
        <v>320.19925699999999</v>
      </c>
      <c r="S180" s="82">
        <v>333.01272699999998</v>
      </c>
      <c r="T180" s="82">
        <v>315.55755499999998</v>
      </c>
      <c r="U180" s="82">
        <v>392.293927</v>
      </c>
      <c r="V180" s="82">
        <v>448.56798300000003</v>
      </c>
      <c r="W180" s="82">
        <v>534.75439439116303</v>
      </c>
      <c r="X180" s="82">
        <v>576.74867700000004</v>
      </c>
      <c r="Y180" s="82">
        <v>457.57837979999999</v>
      </c>
      <c r="Z180" s="82">
        <v>393.45218299073201</v>
      </c>
      <c r="AA180" s="82">
        <v>422.50982503999899</v>
      </c>
    </row>
    <row r="181" spans="1:27">
      <c r="D181" s="24" t="s">
        <v>43</v>
      </c>
      <c r="E181" s="58" t="s">
        <v>269</v>
      </c>
      <c r="F181" s="82">
        <v>13910.753220000001</v>
      </c>
      <c r="G181" s="82">
        <v>14588.642777503699</v>
      </c>
      <c r="H181" s="82">
        <v>14195.532779123299</v>
      </c>
      <c r="I181" s="82">
        <v>14379.4010706301</v>
      </c>
      <c r="J181" s="82">
        <v>14589.5885867815</v>
      </c>
      <c r="K181" s="82">
        <v>15157.1684981297</v>
      </c>
      <c r="L181" s="82">
        <v>13313.687670109501</v>
      </c>
      <c r="M181" s="82">
        <v>14418.4963941644</v>
      </c>
      <c r="N181" s="82">
        <v>14981.0727118541</v>
      </c>
      <c r="O181" s="82">
        <v>13948.6608954851</v>
      </c>
      <c r="P181" s="82">
        <v>13618.2836333501</v>
      </c>
      <c r="Q181" s="82">
        <v>14366.84397036</v>
      </c>
      <c r="R181" s="82">
        <v>14929.0625027765</v>
      </c>
      <c r="S181" s="82">
        <v>16346.0479855126</v>
      </c>
      <c r="T181" s="82">
        <v>17688.970249761798</v>
      </c>
      <c r="U181" s="82">
        <v>17580.0081394689</v>
      </c>
      <c r="V181" s="82">
        <v>17141.698521194601</v>
      </c>
      <c r="W181" s="82">
        <v>17591.857116803101</v>
      </c>
      <c r="X181" s="82">
        <v>16765.7355595437</v>
      </c>
      <c r="Y181" s="82">
        <v>14924.175019187</v>
      </c>
      <c r="Z181" s="82">
        <v>13953.4501098542</v>
      </c>
      <c r="AA181" s="82">
        <v>13855.309836780199</v>
      </c>
    </row>
    <row r="182" spans="1:27">
      <c r="C182" s="23" t="s">
        <v>43</v>
      </c>
      <c r="E182" s="61"/>
      <c r="F182" s="82"/>
      <c r="G182" s="82"/>
      <c r="H182" s="82"/>
      <c r="I182" s="82"/>
      <c r="J182" s="82"/>
      <c r="K182" s="82"/>
      <c r="L182" s="82"/>
      <c r="M182" s="82"/>
      <c r="N182" s="82"/>
      <c r="O182" s="82"/>
      <c r="P182" s="82"/>
      <c r="Q182" s="82"/>
      <c r="R182" s="82"/>
      <c r="S182" s="82"/>
      <c r="T182" s="82"/>
      <c r="U182" s="82"/>
      <c r="V182" s="82"/>
      <c r="W182" s="82"/>
      <c r="X182" s="82"/>
      <c r="Y182" s="82"/>
      <c r="Z182" s="82"/>
      <c r="AA182" s="82"/>
    </row>
    <row r="183" spans="1:27">
      <c r="D183" s="11" t="s">
        <v>274</v>
      </c>
      <c r="E183" s="58" t="s">
        <v>269</v>
      </c>
      <c r="F183" s="82">
        <v>12252.718538073501</v>
      </c>
      <c r="G183" s="82">
        <v>12764.457619749001</v>
      </c>
      <c r="H183" s="82">
        <v>12714.040535820501</v>
      </c>
      <c r="I183" s="82">
        <v>12796.021841440601</v>
      </c>
      <c r="J183" s="82">
        <v>12574.5398684959</v>
      </c>
      <c r="K183" s="82">
        <v>12783.702063033499</v>
      </c>
      <c r="L183" s="82">
        <v>11359.4619148245</v>
      </c>
      <c r="M183" s="82">
        <v>12155.2404484197</v>
      </c>
      <c r="N183" s="82">
        <v>11352.376546478999</v>
      </c>
      <c r="O183" s="82">
        <v>10567.8668603766</v>
      </c>
      <c r="P183" s="82">
        <v>10291.696338850101</v>
      </c>
      <c r="Q183" s="82">
        <v>11250.617708694999</v>
      </c>
      <c r="R183" s="82">
        <v>11764.520995187801</v>
      </c>
      <c r="S183" s="82">
        <v>12310.2896388881</v>
      </c>
      <c r="T183" s="82">
        <v>13346.337507497399</v>
      </c>
      <c r="U183" s="82">
        <v>13523.1027108212</v>
      </c>
      <c r="V183" s="82">
        <v>12863.9430286807</v>
      </c>
      <c r="W183" s="82">
        <v>12569.0804800763</v>
      </c>
      <c r="X183" s="82">
        <v>12065.7389818828</v>
      </c>
      <c r="Y183" s="82">
        <v>10660.3950749168</v>
      </c>
      <c r="Z183" s="82">
        <v>9770.2014259938696</v>
      </c>
      <c r="AA183" s="82">
        <v>9242.8538520341899</v>
      </c>
    </row>
    <row r="184" spans="1:27">
      <c r="D184" s="24" t="s">
        <v>84</v>
      </c>
      <c r="E184" s="58" t="s">
        <v>269</v>
      </c>
      <c r="F184" s="82">
        <v>13016.67094</v>
      </c>
      <c r="G184" s="82">
        <v>13196.773566629599</v>
      </c>
      <c r="H184" s="82">
        <v>13731.590183</v>
      </c>
      <c r="I184" s="82">
        <v>13314.7998493</v>
      </c>
      <c r="J184" s="82">
        <v>13864.257594050699</v>
      </c>
      <c r="K184" s="82">
        <v>14964.364680000001</v>
      </c>
      <c r="L184" s="82">
        <v>13882.592398000001</v>
      </c>
      <c r="M184" s="82">
        <v>12855.646833999999</v>
      </c>
      <c r="N184" s="82">
        <v>14627.8875806667</v>
      </c>
      <c r="O184" s="82">
        <v>12301.344889800001</v>
      </c>
      <c r="P184" s="82">
        <v>11939.818783577901</v>
      </c>
      <c r="Q184" s="82">
        <v>13451.7913912686</v>
      </c>
      <c r="R184" s="82">
        <v>14996.254252701499</v>
      </c>
      <c r="S184" s="82">
        <v>17283.479045933502</v>
      </c>
      <c r="T184" s="82">
        <v>19360.685783617799</v>
      </c>
      <c r="U184" s="82">
        <v>18836.484782130199</v>
      </c>
      <c r="V184" s="82">
        <v>19108.935204612699</v>
      </c>
      <c r="W184" s="82">
        <v>16159.062267188199</v>
      </c>
      <c r="X184" s="82">
        <v>14208.4698188727</v>
      </c>
      <c r="Y184" s="82">
        <v>14642.762057325401</v>
      </c>
      <c r="Z184" s="82">
        <v>14405.158142822</v>
      </c>
      <c r="AA184" s="82">
        <v>13313.4221177747</v>
      </c>
    </row>
    <row r="185" spans="1:27">
      <c r="D185" s="24" t="s">
        <v>76</v>
      </c>
      <c r="E185" s="58" t="s">
        <v>269</v>
      </c>
      <c r="F185" s="82">
        <v>549.63631783766903</v>
      </c>
      <c r="G185" s="82">
        <v>536.72895684392904</v>
      </c>
      <c r="H185" s="82">
        <v>552.72715807660495</v>
      </c>
      <c r="I185" s="82">
        <v>623.333886950291</v>
      </c>
      <c r="J185" s="82">
        <v>753.20859050568004</v>
      </c>
      <c r="K185" s="82">
        <v>619.69109883130102</v>
      </c>
      <c r="L185" s="82">
        <v>556.74901699996997</v>
      </c>
      <c r="M185" s="82">
        <v>551.79197100005001</v>
      </c>
      <c r="N185" s="82">
        <v>551.32765299997698</v>
      </c>
      <c r="O185" s="82">
        <v>627.66845500000204</v>
      </c>
      <c r="P185" s="82">
        <v>640.27092319999804</v>
      </c>
      <c r="Q185" s="82">
        <v>563.64678961537004</v>
      </c>
      <c r="R185" s="82">
        <v>529.18875169230103</v>
      </c>
      <c r="S185" s="82">
        <v>489.24933538499897</v>
      </c>
      <c r="T185" s="82">
        <v>499.1589037</v>
      </c>
      <c r="U185" s="82">
        <v>579.71656900000096</v>
      </c>
      <c r="V185" s="82">
        <v>626.59493099999895</v>
      </c>
      <c r="W185" s="82">
        <v>752.962885391192</v>
      </c>
      <c r="X185" s="82">
        <v>822.94548069919995</v>
      </c>
      <c r="Y185" s="82">
        <v>680.12565554720902</v>
      </c>
      <c r="Z185" s="82">
        <v>673.01945148145205</v>
      </c>
      <c r="AA185" s="82">
        <v>812.81466455852001</v>
      </c>
    </row>
    <row r="186" spans="1:27">
      <c r="A186" s="25"/>
      <c r="B186" s="25"/>
      <c r="C186" s="25"/>
      <c r="D186" s="26" t="s">
        <v>43</v>
      </c>
      <c r="E186" s="63" t="s">
        <v>269</v>
      </c>
      <c r="F186" s="82">
        <v>25819.025795911199</v>
      </c>
      <c r="G186" s="82">
        <v>26497.960143222601</v>
      </c>
      <c r="H186" s="82">
        <v>26998.357876897098</v>
      </c>
      <c r="I186" s="82">
        <v>26734.155577690901</v>
      </c>
      <c r="J186" s="82">
        <v>27192.006053052199</v>
      </c>
      <c r="K186" s="82">
        <v>28367.757841864801</v>
      </c>
      <c r="L186" s="82">
        <v>25798.803329824499</v>
      </c>
      <c r="M186" s="82">
        <v>25562.679253419701</v>
      </c>
      <c r="N186" s="82">
        <v>26531.591780145602</v>
      </c>
      <c r="O186" s="82">
        <v>23496.8802051766</v>
      </c>
      <c r="P186" s="82">
        <v>22871.786045628</v>
      </c>
      <c r="Q186" s="82">
        <v>25266.0558895789</v>
      </c>
      <c r="R186" s="82">
        <v>27289.9639995816</v>
      </c>
      <c r="S186" s="82">
        <v>30083.0180202066</v>
      </c>
      <c r="T186" s="82">
        <v>33206.182201241798</v>
      </c>
      <c r="U186" s="82">
        <v>32939.304061951399</v>
      </c>
      <c r="V186" s="82">
        <v>32599.4731642935</v>
      </c>
      <c r="W186" s="82">
        <v>29481.105632655599</v>
      </c>
      <c r="X186" s="82">
        <v>27097.154281454601</v>
      </c>
      <c r="Y186" s="82">
        <v>25983.282787789401</v>
      </c>
      <c r="Z186" s="91">
        <v>24848.3790202973</v>
      </c>
      <c r="AA186" s="91">
        <v>23369.0906343674</v>
      </c>
    </row>
    <row r="187" spans="1:27" ht="54.65" customHeight="1">
      <c r="A187" t="s">
        <v>2</v>
      </c>
      <c r="F187" s="171" t="s">
        <v>423</v>
      </c>
      <c r="G187" s="171"/>
      <c r="H187" s="171"/>
      <c r="I187" s="171"/>
      <c r="J187" s="171"/>
      <c r="K187" s="171"/>
      <c r="L187" s="171"/>
      <c r="M187" s="171"/>
      <c r="N187" s="171"/>
      <c r="O187" s="171"/>
      <c r="P187" s="171"/>
      <c r="Q187" s="171"/>
      <c r="R187" s="171"/>
      <c r="S187" s="171"/>
      <c r="T187" s="171"/>
      <c r="U187" s="171"/>
      <c r="V187" s="171"/>
      <c r="W187" s="171"/>
      <c r="X187" s="171"/>
      <c r="Y187" s="171"/>
      <c r="Z187" s="171"/>
      <c r="AA187" s="171"/>
    </row>
    <row r="188" spans="1:27">
      <c r="A188" t="s">
        <v>2</v>
      </c>
    </row>
  </sheetData>
  <mergeCells count="2">
    <mergeCell ref="A2:Y2"/>
    <mergeCell ref="F187:AA187"/>
  </mergeCells>
  <conditionalFormatting sqref="F7:AA27 F28:X47 Y29:AA47 F48:AA49 F50:X69 Y51:AA69 F70:AA70 F71:X91 Y73:AA91 F92:AA92 F93:X181 Y95:AA113 Y117:AA135 Y139:AA159 Y161:AA164 Y168:AA181 F182:AA186">
    <cfRule type="cellIs" dxfId="52" priority="1"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DC88B-E9F0-4B91-9F05-744BF2E0EA5F}">
  <dimension ref="A1:AA32"/>
  <sheetViews>
    <sheetView zoomScaleNormal="100" workbookViewId="0">
      <selection activeCell="A13" sqref="A13:N13"/>
    </sheetView>
  </sheetViews>
  <sheetFormatPr defaultColWidth="9.26953125" defaultRowHeight="14.5"/>
  <cols>
    <col min="1" max="2" width="3" customWidth="1"/>
    <col min="3" max="3" width="18.7265625" customWidth="1"/>
    <col min="4" max="4" width="5.26953125" bestFit="1" customWidth="1"/>
    <col min="5" max="27" width="6.81640625" customWidth="1"/>
  </cols>
  <sheetData>
    <row r="1" spans="1:27" ht="71.25" customHeight="1">
      <c r="A1" t="s">
        <v>2</v>
      </c>
    </row>
    <row r="2" spans="1:27" ht="21">
      <c r="A2" s="162" t="s">
        <v>271</v>
      </c>
      <c r="B2" s="162"/>
      <c r="C2" s="162"/>
      <c r="D2" s="162"/>
      <c r="E2" s="162"/>
      <c r="F2" s="162"/>
      <c r="G2" s="162"/>
      <c r="H2" s="162"/>
      <c r="I2" s="162"/>
      <c r="J2" s="162"/>
      <c r="K2" s="162"/>
      <c r="L2" s="162"/>
      <c r="M2" s="162"/>
      <c r="N2" s="162"/>
      <c r="O2" s="162"/>
      <c r="P2" s="162"/>
      <c r="Q2" s="162"/>
      <c r="R2" s="162"/>
      <c r="S2" s="162"/>
      <c r="T2" s="162"/>
      <c r="U2" s="162"/>
      <c r="V2" s="162"/>
      <c r="W2" s="162"/>
      <c r="X2" s="162"/>
      <c r="Y2" s="162"/>
    </row>
    <row r="3" spans="1:27" s="21" customFormat="1" ht="12">
      <c r="A3" s="64" t="s">
        <v>38</v>
      </c>
      <c r="B3" s="64" t="s">
        <v>38</v>
      </c>
      <c r="C3" s="64" t="s">
        <v>38</v>
      </c>
      <c r="D3" s="66" t="s">
        <v>37</v>
      </c>
      <c r="E3" s="64" t="s">
        <v>296</v>
      </c>
      <c r="F3" s="64" t="s">
        <v>297</v>
      </c>
      <c r="G3" s="64" t="s">
        <v>298</v>
      </c>
      <c r="H3" s="64" t="s">
        <v>299</v>
      </c>
      <c r="I3" s="64" t="s">
        <v>300</v>
      </c>
      <c r="J3" s="64" t="s">
        <v>281</v>
      </c>
      <c r="K3" s="64" t="s">
        <v>282</v>
      </c>
      <c r="L3" s="64" t="s">
        <v>283</v>
      </c>
      <c r="M3" s="64" t="s">
        <v>284</v>
      </c>
      <c r="N3" s="64" t="s">
        <v>285</v>
      </c>
      <c r="O3" s="64" t="s">
        <v>286</v>
      </c>
      <c r="P3" s="64" t="s">
        <v>287</v>
      </c>
      <c r="Q3" s="64" t="s">
        <v>288</v>
      </c>
      <c r="R3" s="64" t="s">
        <v>289</v>
      </c>
      <c r="S3" s="64" t="s">
        <v>290</v>
      </c>
      <c r="T3" s="64" t="s">
        <v>291</v>
      </c>
      <c r="U3" s="64" t="s">
        <v>292</v>
      </c>
      <c r="V3" s="64" t="s">
        <v>293</v>
      </c>
      <c r="W3" s="64" t="s">
        <v>294</v>
      </c>
      <c r="X3" s="64" t="s">
        <v>295</v>
      </c>
      <c r="Y3" s="64" t="s">
        <v>305</v>
      </c>
      <c r="Z3" s="64" t="s">
        <v>326</v>
      </c>
      <c r="AA3" s="64" t="s">
        <v>331</v>
      </c>
    </row>
    <row r="4" spans="1:27">
      <c r="A4" s="23" t="s">
        <v>61</v>
      </c>
    </row>
    <row r="5" spans="1:27">
      <c r="B5" s="22" t="s">
        <v>370</v>
      </c>
    </row>
    <row r="6" spans="1:27">
      <c r="C6" s="11" t="s">
        <v>391</v>
      </c>
      <c r="D6" s="60" t="s">
        <v>85</v>
      </c>
      <c r="E6" s="81">
        <v>108.566240850539</v>
      </c>
      <c r="F6" s="81">
        <v>112.191937657355</v>
      </c>
      <c r="G6" s="81">
        <v>117.776771410824</v>
      </c>
      <c r="H6" s="81">
        <v>123.559730063163</v>
      </c>
      <c r="I6" s="81">
        <v>129.93760469521101</v>
      </c>
      <c r="J6" s="81">
        <v>133.57730958339499</v>
      </c>
      <c r="K6" s="81">
        <v>142.73393872639099</v>
      </c>
      <c r="L6" s="81">
        <v>149.08889956876999</v>
      </c>
      <c r="M6" s="81">
        <v>148.37569050161599</v>
      </c>
      <c r="N6" s="81">
        <v>149.01042018128899</v>
      </c>
      <c r="O6" s="81">
        <v>154.68437851636301</v>
      </c>
      <c r="P6" s="81">
        <v>161.673567491048</v>
      </c>
      <c r="Q6" s="81">
        <v>167.833256349431</v>
      </c>
      <c r="R6" s="81">
        <v>168.31729856492899</v>
      </c>
      <c r="S6" s="81">
        <v>169.04716133482401</v>
      </c>
      <c r="T6" s="81">
        <v>168.12273018795401</v>
      </c>
      <c r="U6" s="81">
        <v>182.24731652353501</v>
      </c>
      <c r="V6" s="81">
        <v>194.05618986957799</v>
      </c>
      <c r="W6" s="81">
        <v>197.640960437942</v>
      </c>
      <c r="X6" s="81">
        <v>194.27188374653699</v>
      </c>
      <c r="Y6" s="81">
        <v>204.987825448753</v>
      </c>
      <c r="Z6" s="96">
        <v>217.09803236182901</v>
      </c>
      <c r="AA6" s="96">
        <v>213.45655992714501</v>
      </c>
    </row>
    <row r="7" spans="1:27">
      <c r="C7" s="24" t="s">
        <v>84</v>
      </c>
      <c r="D7" s="60" t="s">
        <v>85</v>
      </c>
      <c r="E7" s="81">
        <v>105.996163822676</v>
      </c>
      <c r="F7" s="81">
        <v>110.17172389076001</v>
      </c>
      <c r="G7" s="81">
        <v>113.756460281109</v>
      </c>
      <c r="H7" s="81">
        <v>117.68358380560601</v>
      </c>
      <c r="I7" s="81">
        <v>120.024067973356</v>
      </c>
      <c r="J7" s="81">
        <v>112.512710622676</v>
      </c>
      <c r="K7" s="81">
        <v>122.677720300313</v>
      </c>
      <c r="L7" s="81">
        <v>129.87022248868001</v>
      </c>
      <c r="M7" s="81">
        <v>131.978722446783</v>
      </c>
      <c r="N7" s="81">
        <v>130.834064933826</v>
      </c>
      <c r="O7" s="81">
        <v>142.63601533884301</v>
      </c>
      <c r="P7" s="81">
        <v>139.36660029284701</v>
      </c>
      <c r="Q7" s="81">
        <v>132.45321620295499</v>
      </c>
      <c r="R7" s="81">
        <v>138.32014379579601</v>
      </c>
      <c r="S7" s="81">
        <v>140.980166050614</v>
      </c>
      <c r="T7" s="81">
        <v>152.913393303833</v>
      </c>
      <c r="U7" s="81">
        <v>141.691186485532</v>
      </c>
      <c r="V7" s="81">
        <v>135.53092299855399</v>
      </c>
      <c r="W7" s="81">
        <v>157.01020117323</v>
      </c>
      <c r="X7" s="81">
        <v>128.14869966381499</v>
      </c>
      <c r="Y7" s="81">
        <v>160.58947464568701</v>
      </c>
      <c r="Z7" s="96">
        <v>156.12641472588001</v>
      </c>
      <c r="AA7" s="96">
        <v>137.27538476075301</v>
      </c>
    </row>
    <row r="8" spans="1:27">
      <c r="C8" s="24" t="s">
        <v>43</v>
      </c>
      <c r="D8" s="60" t="s">
        <v>85</v>
      </c>
      <c r="E8" s="81">
        <v>108.03615573131999</v>
      </c>
      <c r="F8" s="81">
        <v>110.566970971968</v>
      </c>
      <c r="G8" s="81">
        <v>114.930824715857</v>
      </c>
      <c r="H8" s="81">
        <v>119.455955746489</v>
      </c>
      <c r="I8" s="81">
        <v>126.15581904278901</v>
      </c>
      <c r="J8" s="81">
        <v>121.88601627141</v>
      </c>
      <c r="K8" s="81">
        <v>130.38495594422201</v>
      </c>
      <c r="L8" s="81">
        <v>137.872139905929</v>
      </c>
      <c r="M8" s="81">
        <v>141.85200080530399</v>
      </c>
      <c r="N8" s="81">
        <v>139.83313308268001</v>
      </c>
      <c r="O8" s="81">
        <v>161.072907671157</v>
      </c>
      <c r="P8" s="81">
        <v>165.27556507037801</v>
      </c>
      <c r="Q8" s="81">
        <v>161.02439898811201</v>
      </c>
      <c r="R8" s="81">
        <v>164.721397188948</v>
      </c>
      <c r="S8" s="81">
        <v>169.67199544223101</v>
      </c>
      <c r="T8" s="81">
        <v>172.86878056319301</v>
      </c>
      <c r="U8" s="81">
        <v>174.29599490730499</v>
      </c>
      <c r="V8" s="81">
        <v>180.914299020908</v>
      </c>
      <c r="W8" s="81">
        <v>185.39195612075</v>
      </c>
      <c r="X8" s="81">
        <v>173.01855566787901</v>
      </c>
      <c r="Y8" s="81">
        <v>192.51943830675</v>
      </c>
      <c r="Z8" s="96">
        <v>205.88428317095301</v>
      </c>
      <c r="AA8" s="96">
        <v>202.205099085424</v>
      </c>
    </row>
    <row r="9" spans="1:27">
      <c r="A9" t="s">
        <v>2</v>
      </c>
      <c r="D9" s="61"/>
      <c r="E9" s="81"/>
      <c r="F9" s="81"/>
      <c r="G9" s="81"/>
      <c r="H9" s="81"/>
      <c r="I9" s="81"/>
      <c r="J9" s="81"/>
      <c r="K9" s="81"/>
      <c r="L9" s="81"/>
      <c r="M9" s="81"/>
      <c r="N9" s="81"/>
      <c r="O9" s="81"/>
      <c r="P9" s="81"/>
      <c r="Q9" s="81"/>
      <c r="R9" s="81"/>
      <c r="S9" s="81"/>
      <c r="T9" s="81"/>
      <c r="U9" s="81"/>
      <c r="V9" s="81"/>
      <c r="W9" s="81"/>
      <c r="X9" s="81"/>
      <c r="Y9" s="81"/>
      <c r="Z9" s="119"/>
      <c r="AA9" s="119"/>
    </row>
    <row r="10" spans="1:27">
      <c r="B10" s="22" t="s">
        <v>393</v>
      </c>
      <c r="D10" s="61"/>
      <c r="E10" s="81"/>
      <c r="F10" s="81"/>
      <c r="G10" s="81"/>
      <c r="H10" s="81"/>
      <c r="I10" s="81"/>
      <c r="J10" s="81"/>
      <c r="K10" s="81"/>
      <c r="L10" s="81"/>
      <c r="M10" s="81"/>
      <c r="N10" s="81"/>
      <c r="O10" s="81"/>
      <c r="P10" s="81"/>
      <c r="Q10" s="81"/>
      <c r="R10" s="81"/>
      <c r="S10" s="81"/>
      <c r="T10" s="81"/>
      <c r="U10" s="81"/>
      <c r="V10" s="81"/>
      <c r="W10" s="81"/>
      <c r="X10" s="81"/>
      <c r="Y10" s="81"/>
      <c r="Z10" s="119"/>
      <c r="AA10" s="119"/>
    </row>
    <row r="11" spans="1:27">
      <c r="C11" s="11" t="s">
        <v>391</v>
      </c>
      <c r="D11" s="60" t="s">
        <v>85</v>
      </c>
      <c r="E11" s="81">
        <v>91.515126534457494</v>
      </c>
      <c r="F11" s="81">
        <v>84.370291239617899</v>
      </c>
      <c r="G11" s="81">
        <v>90.530522059679697</v>
      </c>
      <c r="H11" s="81">
        <v>94.837197340802305</v>
      </c>
      <c r="I11" s="81">
        <v>102.160948314134</v>
      </c>
      <c r="J11" s="81">
        <v>107.078787076087</v>
      </c>
      <c r="K11" s="81">
        <v>101.697214365371</v>
      </c>
      <c r="L11" s="81">
        <v>102.60121509287499</v>
      </c>
      <c r="M11" s="81">
        <v>104.152925169656</v>
      </c>
      <c r="N11" s="81">
        <v>184.51195421571299</v>
      </c>
      <c r="O11" s="81">
        <v>207.407509072626</v>
      </c>
      <c r="P11" s="81">
        <v>132.75220010722299</v>
      </c>
      <c r="Q11" s="81">
        <v>112.51394716390701</v>
      </c>
      <c r="R11" s="81">
        <v>107.495061137394</v>
      </c>
      <c r="S11" s="81">
        <v>121.752473407568</v>
      </c>
      <c r="T11" s="81">
        <v>114.352840286467</v>
      </c>
      <c r="U11" s="81">
        <v>124.38996046464</v>
      </c>
      <c r="V11" s="81">
        <v>127.17719860390901</v>
      </c>
      <c r="W11" s="81">
        <v>135.414860144469</v>
      </c>
      <c r="X11" s="81">
        <v>134.60638552039001</v>
      </c>
      <c r="Y11" s="81">
        <v>137.78941801080001</v>
      </c>
      <c r="Z11" s="96">
        <v>165.09344983390699</v>
      </c>
      <c r="AA11" s="96">
        <v>204.97947074420799</v>
      </c>
    </row>
    <row r="12" spans="1:27">
      <c r="C12" s="24" t="s">
        <v>84</v>
      </c>
      <c r="D12" s="60" t="s">
        <v>85</v>
      </c>
      <c r="E12" s="81">
        <v>117.819699961401</v>
      </c>
      <c r="F12" s="81">
        <v>114.782935834648</v>
      </c>
      <c r="G12" s="81">
        <v>126.19805952573</v>
      </c>
      <c r="H12" s="81">
        <v>132.35577772579501</v>
      </c>
      <c r="I12" s="81">
        <v>142.00686541856601</v>
      </c>
      <c r="J12" s="81">
        <v>152.669198568605</v>
      </c>
      <c r="K12" s="81">
        <v>166.042102272601</v>
      </c>
      <c r="L12" s="81">
        <v>170.35061263717199</v>
      </c>
      <c r="M12" s="81">
        <v>172.521122999591</v>
      </c>
      <c r="N12" s="81">
        <v>176.891955021168</v>
      </c>
      <c r="O12" s="81">
        <v>154.16061305402101</v>
      </c>
      <c r="P12" s="81">
        <v>145.60284440107799</v>
      </c>
      <c r="Q12" s="81">
        <v>153.176871609035</v>
      </c>
      <c r="R12" s="81">
        <v>162.83064312837701</v>
      </c>
      <c r="S12" s="81">
        <v>163.727884633955</v>
      </c>
      <c r="T12" s="81">
        <v>160.130366824482</v>
      </c>
      <c r="U12" s="81">
        <v>171.107240738108</v>
      </c>
      <c r="V12" s="81">
        <v>190.31279980736301</v>
      </c>
      <c r="W12" s="81">
        <v>216.443309331742</v>
      </c>
      <c r="X12" s="81">
        <v>210.802526701674</v>
      </c>
      <c r="Y12" s="81">
        <v>209.074453846382</v>
      </c>
      <c r="Z12" s="96">
        <v>211.38043625014299</v>
      </c>
      <c r="AA12" s="96">
        <v>209.82772558312701</v>
      </c>
    </row>
    <row r="13" spans="1:27">
      <c r="C13" s="24" t="s">
        <v>43</v>
      </c>
      <c r="D13" s="60" t="s">
        <v>85</v>
      </c>
      <c r="E13" s="81">
        <v>110.41497467595499</v>
      </c>
      <c r="F13" s="81">
        <v>107.321004226513</v>
      </c>
      <c r="G13" s="81">
        <v>117.713547833589</v>
      </c>
      <c r="H13" s="81">
        <v>123.438678678207</v>
      </c>
      <c r="I13" s="81">
        <v>132.427585461029</v>
      </c>
      <c r="J13" s="81">
        <v>142.20092471289999</v>
      </c>
      <c r="K13" s="81">
        <v>153.80076395132599</v>
      </c>
      <c r="L13" s="81">
        <v>157.89452604297901</v>
      </c>
      <c r="M13" s="81">
        <v>160.05186402757701</v>
      </c>
      <c r="N13" s="81">
        <v>166.534744553335</v>
      </c>
      <c r="O13" s="81">
        <v>145.38900357457001</v>
      </c>
      <c r="P13" s="81">
        <v>136.481006605788</v>
      </c>
      <c r="Q13" s="81">
        <v>142.878283820391</v>
      </c>
      <c r="R13" s="81">
        <v>151.40010357860501</v>
      </c>
      <c r="S13" s="81">
        <v>152.71496361418599</v>
      </c>
      <c r="T13" s="81">
        <v>149.25773732775599</v>
      </c>
      <c r="U13" s="81">
        <v>159.71957517122701</v>
      </c>
      <c r="V13" s="81">
        <v>176.74058400497501</v>
      </c>
      <c r="W13" s="81">
        <v>200.42383335894101</v>
      </c>
      <c r="X13" s="81">
        <v>194.71328325384101</v>
      </c>
      <c r="Y13" s="81">
        <v>193.799602081416</v>
      </c>
      <c r="Z13" s="96">
        <v>198.57839396907201</v>
      </c>
      <c r="AA13" s="96">
        <v>198.95758152611</v>
      </c>
    </row>
    <row r="14" spans="1:27">
      <c r="A14" t="s">
        <v>2</v>
      </c>
      <c r="D14" s="61"/>
      <c r="E14" s="81"/>
      <c r="F14" s="81"/>
      <c r="G14" s="81"/>
      <c r="H14" s="81"/>
      <c r="I14" s="81"/>
      <c r="J14" s="81"/>
      <c r="K14" s="81"/>
      <c r="L14" s="81"/>
      <c r="M14" s="81"/>
      <c r="N14" s="81"/>
      <c r="O14" s="81"/>
      <c r="P14" s="81"/>
      <c r="Q14" s="81"/>
      <c r="R14" s="81"/>
      <c r="S14" s="81"/>
      <c r="T14" s="81"/>
      <c r="U14" s="81"/>
      <c r="V14" s="81"/>
      <c r="W14" s="81"/>
      <c r="X14" s="81"/>
      <c r="Y14" s="81"/>
      <c r="Z14" s="119"/>
      <c r="AA14" s="119"/>
    </row>
    <row r="15" spans="1:27">
      <c r="B15" s="23" t="s">
        <v>43</v>
      </c>
      <c r="D15" s="61"/>
      <c r="E15" s="81"/>
      <c r="F15" s="81"/>
      <c r="G15" s="81"/>
      <c r="H15" s="81"/>
      <c r="I15" s="81"/>
      <c r="J15" s="81"/>
      <c r="K15" s="81"/>
      <c r="L15" s="81"/>
      <c r="M15" s="81"/>
      <c r="N15" s="81"/>
      <c r="O15" s="81"/>
      <c r="P15" s="81"/>
      <c r="Q15" s="81"/>
      <c r="R15" s="81"/>
      <c r="S15" s="81"/>
      <c r="T15" s="81"/>
      <c r="U15" s="81"/>
      <c r="V15" s="81"/>
      <c r="W15" s="81"/>
      <c r="X15" s="81"/>
      <c r="Y15" s="81"/>
      <c r="Z15" s="119"/>
      <c r="AA15" s="119"/>
    </row>
    <row r="16" spans="1:27">
      <c r="C16" s="11" t="s">
        <v>391</v>
      </c>
      <c r="D16" s="60" t="s">
        <v>85</v>
      </c>
      <c r="E16" s="81">
        <v>108.509096235352</v>
      </c>
      <c r="F16" s="81">
        <v>111.098720639935</v>
      </c>
      <c r="G16" s="81">
        <v>116.422776868106</v>
      </c>
      <c r="H16" s="81">
        <v>121.080598205863</v>
      </c>
      <c r="I16" s="81">
        <v>128.08381056003799</v>
      </c>
      <c r="J16" s="81">
        <v>132.15375991943901</v>
      </c>
      <c r="K16" s="81">
        <v>140.22321665760799</v>
      </c>
      <c r="L16" s="81">
        <v>146.23444971431201</v>
      </c>
      <c r="M16" s="81">
        <v>146.09477537308999</v>
      </c>
      <c r="N16" s="81">
        <v>150.36213127968699</v>
      </c>
      <c r="O16" s="81">
        <v>156.20829454333</v>
      </c>
      <c r="P16" s="81">
        <v>159.846500918408</v>
      </c>
      <c r="Q16" s="81">
        <v>161.96042022276001</v>
      </c>
      <c r="R16" s="81">
        <v>159.46011278859899</v>
      </c>
      <c r="S16" s="81">
        <v>164.467714442437</v>
      </c>
      <c r="T16" s="81">
        <v>156.05528240326501</v>
      </c>
      <c r="U16" s="81">
        <v>161.37763548173399</v>
      </c>
      <c r="V16" s="81">
        <v>173.02353156276899</v>
      </c>
      <c r="W16" s="81">
        <v>180.66753720580201</v>
      </c>
      <c r="X16" s="81">
        <v>173.17502160721301</v>
      </c>
      <c r="Y16" s="81">
        <v>182.539060823353</v>
      </c>
      <c r="Z16" s="96">
        <v>202.78848615328999</v>
      </c>
      <c r="AA16" s="96">
        <v>220.45546640823201</v>
      </c>
    </row>
    <row r="17" spans="1:27">
      <c r="C17" s="24" t="s">
        <v>84</v>
      </c>
      <c r="D17" s="60" t="s">
        <v>85</v>
      </c>
      <c r="E17" s="81">
        <v>107.514558166342</v>
      </c>
      <c r="F17" s="81">
        <v>110.68874701996501</v>
      </c>
      <c r="G17" s="81">
        <v>115.830230557771</v>
      </c>
      <c r="H17" s="81">
        <v>121.189348191123</v>
      </c>
      <c r="I17" s="81">
        <v>127.630962738387</v>
      </c>
      <c r="J17" s="81">
        <v>127.850620079034</v>
      </c>
      <c r="K17" s="81">
        <v>138.97330641314801</v>
      </c>
      <c r="L17" s="81">
        <v>147.33087862956799</v>
      </c>
      <c r="M17" s="81">
        <v>151.145702523979</v>
      </c>
      <c r="N17" s="81">
        <v>154.44282003977901</v>
      </c>
      <c r="O17" s="81">
        <v>148.039102928755</v>
      </c>
      <c r="P17" s="81">
        <v>141.284838332585</v>
      </c>
      <c r="Q17" s="81">
        <v>145.46866436013201</v>
      </c>
      <c r="R17" s="81">
        <v>154.78934988012401</v>
      </c>
      <c r="S17" s="81">
        <v>156.51107499138601</v>
      </c>
      <c r="T17" s="81">
        <v>155.51242104742499</v>
      </c>
      <c r="U17" s="81">
        <v>162.59445768350801</v>
      </c>
      <c r="V17" s="81">
        <v>178.08336208084199</v>
      </c>
      <c r="W17" s="81">
        <v>200.376182906726</v>
      </c>
      <c r="X17" s="81">
        <v>188.94151336468801</v>
      </c>
      <c r="Y17" s="81">
        <v>195.091797460664</v>
      </c>
      <c r="Z17" s="96">
        <v>193.936487765675</v>
      </c>
      <c r="AA17" s="96">
        <v>183.12044667949601</v>
      </c>
    </row>
    <row r="18" spans="1:27">
      <c r="C18" s="24" t="s">
        <v>43</v>
      </c>
      <c r="D18" s="60" t="s">
        <v>85</v>
      </c>
      <c r="E18" s="81">
        <v>106.180431976394</v>
      </c>
      <c r="F18" s="81">
        <v>107.65882146153101</v>
      </c>
      <c r="G18" s="81">
        <v>112.89083570460301</v>
      </c>
      <c r="H18" s="81">
        <v>116.424077536784</v>
      </c>
      <c r="I18" s="81">
        <v>122.724895832272</v>
      </c>
      <c r="J18" s="81">
        <v>123.020705754589</v>
      </c>
      <c r="K18" s="81">
        <v>131.83471039953699</v>
      </c>
      <c r="L18" s="81">
        <v>137.87257999123801</v>
      </c>
      <c r="M18" s="81">
        <v>140.048310468285</v>
      </c>
      <c r="N18" s="81">
        <v>142.71317677316699</v>
      </c>
      <c r="O18" s="81">
        <v>143.470673660622</v>
      </c>
      <c r="P18" s="81">
        <v>138.252140860201</v>
      </c>
      <c r="Q18" s="81">
        <v>138.690712910439</v>
      </c>
      <c r="R18" s="81">
        <v>143.29953740175699</v>
      </c>
      <c r="S18" s="81">
        <v>144.335753325371</v>
      </c>
      <c r="T18" s="81">
        <v>142.45067985137399</v>
      </c>
      <c r="U18" s="81">
        <v>148.282493646365</v>
      </c>
      <c r="V18" s="81">
        <v>160.46446985963999</v>
      </c>
      <c r="W18" s="81">
        <v>176.78142549416401</v>
      </c>
      <c r="X18" s="81">
        <v>169.341267662391</v>
      </c>
      <c r="Y18" s="81">
        <v>174.435615441381</v>
      </c>
      <c r="Z18" s="96">
        <v>182.87542393110499</v>
      </c>
      <c r="AA18" s="96">
        <v>181.26894568757399</v>
      </c>
    </row>
    <row r="19" spans="1:27">
      <c r="A19" t="s">
        <v>2</v>
      </c>
      <c r="D19" s="61"/>
      <c r="E19" s="81"/>
      <c r="F19" s="81"/>
      <c r="G19" s="81"/>
      <c r="H19" s="81"/>
      <c r="I19" s="81"/>
      <c r="J19" s="81"/>
      <c r="K19" s="81"/>
      <c r="L19" s="81"/>
      <c r="M19" s="81"/>
      <c r="N19" s="81"/>
      <c r="O19" s="81"/>
      <c r="P19" s="81"/>
      <c r="Q19" s="81"/>
      <c r="R19" s="81"/>
      <c r="S19" s="81"/>
      <c r="T19" s="81"/>
      <c r="U19" s="81"/>
      <c r="V19" s="81"/>
      <c r="W19" s="81"/>
      <c r="X19" s="81"/>
      <c r="Y19" s="81"/>
      <c r="Z19" s="119"/>
      <c r="AA19" s="119"/>
    </row>
    <row r="20" spans="1:27">
      <c r="A20" s="22" t="s">
        <v>272</v>
      </c>
      <c r="D20" s="61"/>
      <c r="E20" s="81"/>
      <c r="F20" s="81"/>
      <c r="G20" s="81"/>
      <c r="H20" s="81"/>
      <c r="I20" s="81"/>
      <c r="J20" s="81"/>
      <c r="K20" s="81"/>
      <c r="L20" s="81"/>
      <c r="M20" s="81"/>
      <c r="N20" s="81"/>
      <c r="O20" s="81"/>
      <c r="P20" s="81"/>
      <c r="Q20" s="81"/>
      <c r="R20" s="81"/>
      <c r="S20" s="81"/>
      <c r="T20" s="81"/>
      <c r="U20" s="81"/>
      <c r="V20" s="81"/>
      <c r="W20" s="81"/>
      <c r="X20" s="81"/>
      <c r="Y20" s="81"/>
      <c r="Z20" s="119"/>
      <c r="AA20" s="119"/>
    </row>
    <row r="21" spans="1:27">
      <c r="B21" s="23" t="s">
        <v>77</v>
      </c>
      <c r="D21" s="61"/>
      <c r="E21" s="81"/>
      <c r="F21" s="81"/>
      <c r="G21" s="81"/>
      <c r="H21" s="81"/>
      <c r="I21" s="81"/>
      <c r="J21" s="81"/>
      <c r="K21" s="81"/>
      <c r="L21" s="81"/>
      <c r="M21" s="81"/>
      <c r="N21" s="81"/>
      <c r="O21" s="81"/>
      <c r="P21" s="81"/>
      <c r="Q21" s="81"/>
      <c r="R21" s="81"/>
      <c r="S21" s="81"/>
      <c r="T21" s="81"/>
      <c r="U21" s="81"/>
      <c r="V21" s="81"/>
      <c r="W21" s="81"/>
      <c r="X21" s="81"/>
      <c r="Y21" s="81"/>
    </row>
    <row r="22" spans="1:27">
      <c r="C22" s="24" t="s">
        <v>72</v>
      </c>
      <c r="D22" s="60" t="s">
        <v>85</v>
      </c>
      <c r="E22" s="81">
        <v>105.771547513573</v>
      </c>
      <c r="F22" s="81">
        <v>109.307788500459</v>
      </c>
      <c r="G22" s="81">
        <v>111.74798154670199</v>
      </c>
      <c r="H22" s="81">
        <v>115.671918779178</v>
      </c>
      <c r="I22" s="81">
        <v>113.364058188589</v>
      </c>
      <c r="J22" s="81">
        <v>114.247053080577</v>
      </c>
      <c r="K22" s="81">
        <v>114.238197844342</v>
      </c>
      <c r="L22" s="81">
        <v>120.02771647771</v>
      </c>
      <c r="M22" s="81">
        <v>124.468970754955</v>
      </c>
      <c r="N22" s="81">
        <v>127.48906522661299</v>
      </c>
      <c r="O22" s="81">
        <v>124.00135706176501</v>
      </c>
      <c r="P22" s="81">
        <v>117.889480854224</v>
      </c>
      <c r="Q22" s="81">
        <v>135.554184428019</v>
      </c>
      <c r="R22" s="81">
        <v>136.53611919256099</v>
      </c>
      <c r="S22" s="81">
        <v>140.18032668993899</v>
      </c>
      <c r="T22" s="81">
        <v>147.71902724709301</v>
      </c>
      <c r="U22" s="81">
        <v>155.46933143844601</v>
      </c>
      <c r="V22" s="81">
        <v>155.24602666323699</v>
      </c>
      <c r="W22" s="81">
        <v>152.01779928844201</v>
      </c>
      <c r="X22" s="81">
        <v>141.08149745776799</v>
      </c>
      <c r="Y22" s="81">
        <v>161.16785835131799</v>
      </c>
      <c r="Z22" s="96">
        <v>189.72711833666901</v>
      </c>
      <c r="AA22" s="96">
        <v>199.97137037898599</v>
      </c>
    </row>
    <row r="23" spans="1:27">
      <c r="C23" s="24" t="s">
        <v>84</v>
      </c>
      <c r="D23" s="60" t="s">
        <v>85</v>
      </c>
      <c r="E23" s="81">
        <v>83.756484503623</v>
      </c>
      <c r="F23" s="81">
        <v>98.946234128090396</v>
      </c>
      <c r="G23" s="81">
        <v>101.47666079305201</v>
      </c>
      <c r="H23" s="81">
        <v>99.248827365299306</v>
      </c>
      <c r="I23" s="81">
        <v>101.412954879795</v>
      </c>
      <c r="J23" s="81">
        <v>104.329853068335</v>
      </c>
      <c r="K23" s="81">
        <v>102.633925889219</v>
      </c>
      <c r="L23" s="81">
        <v>105.486603779436</v>
      </c>
      <c r="M23" s="81">
        <v>102.758214341902</v>
      </c>
      <c r="N23" s="81">
        <v>111.55285864296501</v>
      </c>
      <c r="O23" s="81">
        <v>113.80014619545599</v>
      </c>
      <c r="P23" s="81">
        <v>115.424271986782</v>
      </c>
      <c r="Q23" s="81">
        <v>125.505807142262</v>
      </c>
      <c r="R23" s="81">
        <v>124.170245454227</v>
      </c>
      <c r="S23" s="81">
        <v>135.46978068287899</v>
      </c>
      <c r="T23" s="81">
        <v>150.012222470175</v>
      </c>
      <c r="U23" s="81">
        <v>155.70856533727701</v>
      </c>
      <c r="V23" s="81">
        <v>163.54685039596299</v>
      </c>
      <c r="W23" s="81">
        <v>159.167259976726</v>
      </c>
      <c r="X23" s="81">
        <v>150.807941874644</v>
      </c>
      <c r="Y23" s="81">
        <v>153.11836415426399</v>
      </c>
      <c r="Z23" s="96">
        <v>184.44027537487599</v>
      </c>
      <c r="AA23" s="96">
        <v>178.66763935252499</v>
      </c>
    </row>
    <row r="24" spans="1:27">
      <c r="C24" s="24" t="s">
        <v>43</v>
      </c>
      <c r="D24" s="60" t="s">
        <v>85</v>
      </c>
      <c r="E24" s="81">
        <v>101.16931046580601</v>
      </c>
      <c r="F24" s="81">
        <v>107.54080065023101</v>
      </c>
      <c r="G24" s="81">
        <v>110.578607518463</v>
      </c>
      <c r="H24" s="81">
        <v>114.02456804869701</v>
      </c>
      <c r="I24" s="81">
        <v>113.574277912564</v>
      </c>
      <c r="J24" s="81">
        <v>114.964367318041</v>
      </c>
      <c r="K24" s="81">
        <v>113.400680840498</v>
      </c>
      <c r="L24" s="81">
        <v>119.14409823299</v>
      </c>
      <c r="M24" s="81">
        <v>123.17082084283101</v>
      </c>
      <c r="N24" s="81">
        <v>123.196491401465</v>
      </c>
      <c r="O24" s="81">
        <v>121.04208518312799</v>
      </c>
      <c r="P24" s="81">
        <v>118.126145877946</v>
      </c>
      <c r="Q24" s="81">
        <v>136.20146417487101</v>
      </c>
      <c r="R24" s="81">
        <v>136.75074408603399</v>
      </c>
      <c r="S24" s="81">
        <v>140.328605295805</v>
      </c>
      <c r="T24" s="81">
        <v>149.20031978640199</v>
      </c>
      <c r="U24" s="81">
        <v>156.84205057444501</v>
      </c>
      <c r="V24" s="81">
        <v>158.10443729439899</v>
      </c>
      <c r="W24" s="81">
        <v>154.829460394238</v>
      </c>
      <c r="X24" s="81">
        <v>144.18473996795501</v>
      </c>
      <c r="Y24" s="81">
        <v>157.89943185441899</v>
      </c>
      <c r="Z24" s="96">
        <v>185.98180038772401</v>
      </c>
      <c r="AA24" s="96">
        <v>189.91030090231601</v>
      </c>
    </row>
    <row r="25" spans="1:27">
      <c r="A25" t="s">
        <v>2</v>
      </c>
      <c r="D25" s="61"/>
      <c r="E25" s="81"/>
      <c r="F25" s="81"/>
      <c r="G25" s="81"/>
      <c r="H25" s="81"/>
      <c r="I25" s="81"/>
      <c r="J25" s="81"/>
      <c r="K25" s="81"/>
      <c r="L25" s="81"/>
      <c r="M25" s="81"/>
      <c r="N25" s="81"/>
      <c r="O25" s="81"/>
      <c r="P25" s="81"/>
      <c r="Q25" s="81"/>
      <c r="R25" s="81"/>
      <c r="S25" s="81"/>
      <c r="T25" s="81"/>
      <c r="U25" s="81"/>
      <c r="V25" s="81"/>
      <c r="W25" s="81"/>
      <c r="X25" s="81"/>
      <c r="Y25" s="81"/>
      <c r="Z25" s="119"/>
      <c r="AA25" s="119"/>
    </row>
    <row r="26" spans="1:27">
      <c r="A26" s="23" t="s">
        <v>43</v>
      </c>
      <c r="D26" s="61"/>
      <c r="E26" s="81"/>
      <c r="F26" s="81"/>
      <c r="G26" s="81"/>
      <c r="H26" s="81"/>
      <c r="I26" s="81"/>
      <c r="J26" s="81"/>
      <c r="K26" s="81"/>
      <c r="L26" s="81"/>
      <c r="M26" s="81"/>
      <c r="N26" s="81"/>
      <c r="O26" s="81"/>
      <c r="P26" s="81"/>
      <c r="Q26" s="81"/>
      <c r="R26" s="81"/>
      <c r="S26" s="81"/>
      <c r="T26" s="81"/>
      <c r="U26" s="81"/>
      <c r="V26" s="81"/>
      <c r="W26" s="81"/>
      <c r="X26" s="81"/>
      <c r="Y26" s="81"/>
      <c r="Z26" s="119"/>
      <c r="AA26" s="119"/>
    </row>
    <row r="27" spans="1:27">
      <c r="B27" s="22" t="s">
        <v>394</v>
      </c>
      <c r="D27" s="61"/>
      <c r="E27" s="81"/>
      <c r="F27" s="81"/>
      <c r="G27" s="81"/>
      <c r="H27" s="81"/>
      <c r="I27" s="81"/>
      <c r="J27" s="81"/>
      <c r="K27" s="81"/>
      <c r="L27" s="81"/>
      <c r="M27" s="81"/>
      <c r="N27" s="81"/>
      <c r="O27" s="81"/>
      <c r="P27" s="81"/>
      <c r="Q27" s="81"/>
      <c r="R27" s="81"/>
      <c r="S27" s="81"/>
      <c r="T27" s="81"/>
      <c r="U27" s="81"/>
      <c r="V27" s="81"/>
      <c r="W27" s="81"/>
      <c r="X27" s="81"/>
      <c r="Y27" s="81"/>
    </row>
    <row r="28" spans="1:27">
      <c r="C28" s="11" t="s">
        <v>392</v>
      </c>
      <c r="D28" s="60" t="s">
        <v>85</v>
      </c>
      <c r="E28" s="81">
        <v>106.075029733432</v>
      </c>
      <c r="F28" s="81">
        <v>109.14722591324799</v>
      </c>
      <c r="G28" s="81">
        <v>112.16243338563601</v>
      </c>
      <c r="H28" s="81">
        <v>116.271100868586</v>
      </c>
      <c r="I28" s="81">
        <v>116.349013291603</v>
      </c>
      <c r="J28" s="81">
        <v>117.460742802619</v>
      </c>
      <c r="K28" s="81">
        <v>119.612512798948</v>
      </c>
      <c r="L28" s="81">
        <v>125.40809196467499</v>
      </c>
      <c r="M28" s="81">
        <v>127.36996577035499</v>
      </c>
      <c r="N28" s="81">
        <v>130.300589579676</v>
      </c>
      <c r="O28" s="81">
        <v>129.37783934861301</v>
      </c>
      <c r="P28" s="81">
        <v>124.27086217134401</v>
      </c>
      <c r="Q28" s="81">
        <v>137.50542642494699</v>
      </c>
      <c r="R28" s="81">
        <v>137.79231349856701</v>
      </c>
      <c r="S28" s="81">
        <v>141.62552203734</v>
      </c>
      <c r="T28" s="81">
        <v>146.29334638293301</v>
      </c>
      <c r="U28" s="81">
        <v>153.69544350741501</v>
      </c>
      <c r="V28" s="81">
        <v>155.84931549843699</v>
      </c>
      <c r="W28" s="81">
        <v>152.88819411130899</v>
      </c>
      <c r="X28" s="81">
        <v>143.729354594673</v>
      </c>
      <c r="Y28" s="81">
        <v>162.08313262253799</v>
      </c>
      <c r="Z28" s="96">
        <v>182.60141268077399</v>
      </c>
      <c r="AA28" s="96">
        <v>196.605702328962</v>
      </c>
    </row>
    <row r="29" spans="1:27">
      <c r="C29" s="24" t="s">
        <v>84</v>
      </c>
      <c r="D29" s="60" t="s">
        <v>85</v>
      </c>
      <c r="E29" s="81">
        <v>98.659359972537899</v>
      </c>
      <c r="F29" s="81">
        <v>106.60668340993099</v>
      </c>
      <c r="G29" s="81">
        <v>110.71335072413299</v>
      </c>
      <c r="H29" s="81">
        <v>115.172365993477</v>
      </c>
      <c r="I29" s="81">
        <v>120.35408407025101</v>
      </c>
      <c r="J29" s="81">
        <v>121.849769321012</v>
      </c>
      <c r="K29" s="81">
        <v>128.74419913812699</v>
      </c>
      <c r="L29" s="81">
        <v>137.221276535725</v>
      </c>
      <c r="M29" s="81">
        <v>136.79647524760099</v>
      </c>
      <c r="N29" s="81">
        <v>139.53897775489801</v>
      </c>
      <c r="O29" s="81">
        <v>133.60620460804</v>
      </c>
      <c r="P29" s="81">
        <v>131.038997955875</v>
      </c>
      <c r="Q29" s="81">
        <v>139.92664600498401</v>
      </c>
      <c r="R29" s="81">
        <v>147.26248000377601</v>
      </c>
      <c r="S29" s="81">
        <v>151.22825004541301</v>
      </c>
      <c r="T29" s="81">
        <v>154.99177729793001</v>
      </c>
      <c r="U29" s="81">
        <v>161.69728996396501</v>
      </c>
      <c r="V29" s="81">
        <v>175.22643041417999</v>
      </c>
      <c r="W29" s="81">
        <v>185.189853741278</v>
      </c>
      <c r="X29" s="81">
        <v>172.29654998474999</v>
      </c>
      <c r="Y29" s="81">
        <v>179.66488112342799</v>
      </c>
      <c r="Z29" s="96">
        <v>187.591302976072</v>
      </c>
      <c r="AA29" s="96">
        <v>178.51139992732001</v>
      </c>
    </row>
    <row r="30" spans="1:27">
      <c r="A30" s="25"/>
      <c r="B30" s="25"/>
      <c r="C30" s="26" t="s">
        <v>87</v>
      </c>
      <c r="D30" s="62" t="s">
        <v>85</v>
      </c>
      <c r="E30" s="81">
        <v>103.364915901743</v>
      </c>
      <c r="F30" s="81">
        <v>107.39329124562801</v>
      </c>
      <c r="G30" s="81">
        <v>111.469038013833</v>
      </c>
      <c r="H30" s="81">
        <v>115.12235264549599</v>
      </c>
      <c r="I30" s="81">
        <v>117.566006346899</v>
      </c>
      <c r="J30" s="81">
        <v>118.480990396389</v>
      </c>
      <c r="K30" s="81">
        <v>122.05105280075099</v>
      </c>
      <c r="L30" s="81">
        <v>128.54056205617701</v>
      </c>
      <c r="M30" s="81">
        <v>130.40779545091601</v>
      </c>
      <c r="N30" s="81">
        <v>131.572491883775</v>
      </c>
      <c r="O30" s="81">
        <v>130.04183120848199</v>
      </c>
      <c r="P30" s="81">
        <v>126.28206610221299</v>
      </c>
      <c r="Q30" s="81">
        <v>136.80782697233499</v>
      </c>
      <c r="R30" s="81">
        <v>139.53861893657299</v>
      </c>
      <c r="S30" s="81">
        <v>141.89631099387401</v>
      </c>
      <c r="T30" s="81">
        <v>145.63139341607601</v>
      </c>
      <c r="U30" s="81">
        <v>152.24868459357299</v>
      </c>
      <c r="V30" s="81">
        <v>158.752842908481</v>
      </c>
      <c r="W30" s="81">
        <v>163.06268940051999</v>
      </c>
      <c r="X30" s="81">
        <v>153.51814263703301</v>
      </c>
      <c r="Y30" s="90">
        <v>164.82901546933201</v>
      </c>
      <c r="Z30" s="116">
        <v>178.75916541418101</v>
      </c>
      <c r="AA30" s="116">
        <v>178.917263679917</v>
      </c>
    </row>
    <row r="31" spans="1:27" ht="34" customHeight="1">
      <c r="A31" t="s">
        <v>2</v>
      </c>
      <c r="E31" s="172" t="s">
        <v>415</v>
      </c>
      <c r="F31" s="172"/>
      <c r="G31" s="172"/>
      <c r="H31" s="172"/>
      <c r="I31" s="172"/>
      <c r="J31" s="172"/>
      <c r="K31" s="172"/>
      <c r="L31" s="172"/>
      <c r="M31" s="172"/>
      <c r="N31" s="172"/>
      <c r="O31" s="172"/>
      <c r="P31" s="172"/>
      <c r="Q31" s="172"/>
      <c r="R31" s="172"/>
      <c r="S31" s="172"/>
      <c r="T31" s="172"/>
      <c r="U31" s="172"/>
      <c r="V31" s="172"/>
      <c r="W31" s="172"/>
      <c r="X31" s="172"/>
      <c r="Y31" s="172"/>
      <c r="Z31" s="172"/>
      <c r="AA31" s="172"/>
    </row>
    <row r="32" spans="1:27">
      <c r="A32" t="s">
        <v>2</v>
      </c>
    </row>
  </sheetData>
  <mergeCells count="2">
    <mergeCell ref="A2:Y2"/>
    <mergeCell ref="E31:AA31"/>
  </mergeCells>
  <phoneticPr fontId="14" type="noConversion"/>
  <conditionalFormatting sqref="E6:Y30">
    <cfRule type="cellIs" dxfId="51" priority="4" operator="lessThan">
      <formula>0</formula>
    </cfRule>
  </conditionalFormatting>
  <conditionalFormatting sqref="Z6:AA20 Z22:AA26 Z28:AA30">
    <cfRule type="cellIs" dxfId="50" priority="1" operator="lessThan">
      <formula>0</formula>
    </cfRule>
  </conditionalFormatting>
  <pageMargins left="0.7" right="0.7" top="0.75" bottom="0.75" header="0.3" footer="0.3"/>
  <pageSetup paperSize="9" orientation="portrait" r:id="rId1"/>
  <headerFooter>
    <oddHeader>&amp;C&amp;"Calibri"&amp;12&amp;KFF0000 OFFICIAL&amp;1#_x000D_</oddHeader>
    <oddFooter>&amp;C_x000D_&amp;1#&amp;"Calibri"&amp;12&amp;KFF0000 OFFICIAL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FCE87-9E10-471C-94B0-629E40C49988}">
  <dimension ref="A1:Z36"/>
  <sheetViews>
    <sheetView zoomScaleNormal="100" workbookViewId="0">
      <selection activeCell="A13" sqref="A13:N13"/>
    </sheetView>
  </sheetViews>
  <sheetFormatPr defaultColWidth="9.26953125" defaultRowHeight="14.5"/>
  <cols>
    <col min="1" max="1" width="3" customWidth="1"/>
    <col min="2" max="2" width="25.1796875" customWidth="1"/>
    <col min="3" max="3" width="6.453125" bestFit="1" customWidth="1"/>
    <col min="4" max="23" width="7" bestFit="1" customWidth="1"/>
    <col min="24" max="26" width="6.81640625" customWidth="1"/>
  </cols>
  <sheetData>
    <row r="1" spans="1:26" ht="71.25" customHeight="1">
      <c r="A1" t="s">
        <v>2</v>
      </c>
    </row>
    <row r="2" spans="1:26" ht="21">
      <c r="A2" s="162" t="s">
        <v>268</v>
      </c>
      <c r="B2" s="162"/>
      <c r="C2" s="162"/>
      <c r="D2" s="162"/>
      <c r="E2" s="162"/>
      <c r="F2" s="162"/>
      <c r="G2" s="162"/>
      <c r="H2" s="162"/>
      <c r="I2" s="162"/>
      <c r="J2" s="162"/>
      <c r="K2" s="162"/>
      <c r="L2" s="162"/>
      <c r="M2" s="162"/>
      <c r="N2" s="162"/>
      <c r="O2" s="162"/>
      <c r="P2" s="162"/>
      <c r="Q2" s="162"/>
      <c r="R2" s="162"/>
      <c r="S2" s="162"/>
      <c r="T2" s="162"/>
      <c r="U2" s="162"/>
      <c r="V2" s="162"/>
      <c r="W2" s="162"/>
      <c r="X2" s="162"/>
    </row>
    <row r="3" spans="1:26" s="21" customFormat="1" ht="12">
      <c r="A3" s="64" t="s">
        <v>38</v>
      </c>
      <c r="B3" s="64" t="s">
        <v>38</v>
      </c>
      <c r="C3" s="66" t="s">
        <v>37</v>
      </c>
      <c r="D3" s="64" t="s">
        <v>296</v>
      </c>
      <c r="E3" s="64" t="s">
        <v>297</v>
      </c>
      <c r="F3" s="64" t="s">
        <v>298</v>
      </c>
      <c r="G3" s="64" t="s">
        <v>299</v>
      </c>
      <c r="H3" s="64" t="s">
        <v>300</v>
      </c>
      <c r="I3" s="64" t="s">
        <v>281</v>
      </c>
      <c r="J3" s="64" t="s">
        <v>282</v>
      </c>
      <c r="K3" s="64" t="s">
        <v>283</v>
      </c>
      <c r="L3" s="64" t="s">
        <v>284</v>
      </c>
      <c r="M3" s="64" t="s">
        <v>285</v>
      </c>
      <c r="N3" s="64" t="s">
        <v>286</v>
      </c>
      <c r="O3" s="64" t="s">
        <v>287</v>
      </c>
      <c r="P3" s="64" t="s">
        <v>288</v>
      </c>
      <c r="Q3" s="64" t="s">
        <v>289</v>
      </c>
      <c r="R3" s="64" t="s">
        <v>290</v>
      </c>
      <c r="S3" s="64" t="s">
        <v>291</v>
      </c>
      <c r="T3" s="64" t="s">
        <v>292</v>
      </c>
      <c r="U3" s="64" t="s">
        <v>293</v>
      </c>
      <c r="V3" s="64" t="s">
        <v>294</v>
      </c>
      <c r="W3" s="64" t="s">
        <v>295</v>
      </c>
      <c r="X3" s="64" t="s">
        <v>305</v>
      </c>
      <c r="Y3" s="64" t="s">
        <v>326</v>
      </c>
      <c r="Z3" s="64" t="s">
        <v>331</v>
      </c>
    </row>
    <row r="4" spans="1:26">
      <c r="A4" s="22" t="s">
        <v>396</v>
      </c>
    </row>
    <row r="5" spans="1:26">
      <c r="B5" s="11" t="s">
        <v>397</v>
      </c>
      <c r="C5" s="58" t="s">
        <v>269</v>
      </c>
      <c r="D5" s="82">
        <v>4028.7860953161198</v>
      </c>
      <c r="E5" s="82">
        <v>4069.5362216326198</v>
      </c>
      <c r="F5" s="82">
        <v>4136.48202138534</v>
      </c>
      <c r="G5" s="82">
        <v>4153.6766640771702</v>
      </c>
      <c r="H5" s="82">
        <v>3958.53559310112</v>
      </c>
      <c r="I5" s="82">
        <v>3699.2958356334502</v>
      </c>
      <c r="J5" s="82">
        <v>3581.4733379886202</v>
      </c>
      <c r="K5" s="82">
        <v>2594.6210639210999</v>
      </c>
      <c r="L5" s="82">
        <v>1862.12134177957</v>
      </c>
      <c r="M5" s="82">
        <v>1712.3355410875099</v>
      </c>
      <c r="N5" s="82">
        <v>2486.67689719179</v>
      </c>
      <c r="O5" s="82">
        <v>2261.1162142962999</v>
      </c>
      <c r="P5" s="82">
        <v>1984.9111331285201</v>
      </c>
      <c r="Q5" s="82">
        <v>2022.0588045586901</v>
      </c>
      <c r="R5" s="82">
        <v>2404.0210229770801</v>
      </c>
      <c r="S5" s="82">
        <v>2685.2472824165202</v>
      </c>
      <c r="T5" s="82">
        <v>3012.61827272341</v>
      </c>
      <c r="U5" s="82">
        <v>2892.1165948163798</v>
      </c>
      <c r="V5" s="82">
        <v>2356.1531450246798</v>
      </c>
      <c r="W5" s="82">
        <v>2787.7889474834301</v>
      </c>
      <c r="X5" s="82">
        <v>2819.67246503759</v>
      </c>
      <c r="Y5" s="118">
        <v>2275.5947420519601</v>
      </c>
      <c r="Z5" s="118">
        <v>2038.99523712002</v>
      </c>
    </row>
    <row r="6" spans="1:26">
      <c r="B6" s="11" t="s">
        <v>357</v>
      </c>
      <c r="C6" s="58" t="s">
        <v>269</v>
      </c>
      <c r="D6" s="82">
        <v>64.6768</v>
      </c>
      <c r="E6" s="82">
        <v>26.267199999999999</v>
      </c>
      <c r="F6" s="82">
        <v>66.677617748148094</v>
      </c>
      <c r="G6" s="82">
        <v>65.203551200000007</v>
      </c>
      <c r="H6" s="82">
        <v>70.183269600000003</v>
      </c>
      <c r="I6" s="82">
        <v>88.060979360000005</v>
      </c>
      <c r="J6" s="82">
        <v>82.951947759999996</v>
      </c>
      <c r="K6" s="82">
        <v>56.080743200000001</v>
      </c>
      <c r="L6" s="82">
        <v>84.049470479999997</v>
      </c>
      <c r="M6" s="82">
        <v>98.569425199999998</v>
      </c>
      <c r="N6" s="82">
        <v>138.98128392000001</v>
      </c>
      <c r="O6" s="82">
        <v>125.43053312000001</v>
      </c>
      <c r="P6" s="82">
        <v>170.12738816000001</v>
      </c>
      <c r="Q6" s="82">
        <v>154.12481352</v>
      </c>
      <c r="R6" s="82">
        <v>175.76210563999999</v>
      </c>
      <c r="S6" s="82">
        <v>199.83507431999999</v>
      </c>
      <c r="T6" s="82">
        <v>185.72891183999999</v>
      </c>
      <c r="U6" s="82">
        <v>161.51769007999999</v>
      </c>
      <c r="V6" s="82">
        <v>125.33796924000001</v>
      </c>
      <c r="W6" s="82">
        <v>133.29475292000001</v>
      </c>
      <c r="X6" s="82">
        <v>141.60484772000001</v>
      </c>
      <c r="Y6" s="118">
        <v>122.74887604</v>
      </c>
      <c r="Z6" s="118">
        <v>136.20757214222201</v>
      </c>
    </row>
    <row r="7" spans="1:26">
      <c r="B7" s="24" t="s">
        <v>51</v>
      </c>
      <c r="C7" s="58" t="s">
        <v>269</v>
      </c>
      <c r="D7" s="82">
        <v>1706.3224727767799</v>
      </c>
      <c r="E7" s="82">
        <v>1893.3573672350301</v>
      </c>
      <c r="F7" s="82">
        <v>2122.0307805143402</v>
      </c>
      <c r="G7" s="82">
        <v>2226.4907202712502</v>
      </c>
      <c r="H7" s="82">
        <v>2239.0695531107299</v>
      </c>
      <c r="I7" s="82">
        <v>2131.7763556958498</v>
      </c>
      <c r="J7" s="82">
        <v>2181.3729937082398</v>
      </c>
      <c r="K7" s="82">
        <v>2052.9258395482698</v>
      </c>
      <c r="L7" s="82">
        <v>1903.89008454195</v>
      </c>
      <c r="M7" s="82">
        <v>1890.43497896551</v>
      </c>
      <c r="N7" s="82">
        <v>1841.08157211203</v>
      </c>
      <c r="O7" s="82">
        <v>1911.9163893356299</v>
      </c>
      <c r="P7" s="82">
        <v>1807.43463912733</v>
      </c>
      <c r="Q7" s="82">
        <v>1737.9169394663199</v>
      </c>
      <c r="R7" s="82">
        <v>1636.03263014911</v>
      </c>
      <c r="S7" s="82">
        <v>1529.6257240064399</v>
      </c>
      <c r="T7" s="82">
        <v>1510.3884582790799</v>
      </c>
      <c r="U7" s="82">
        <v>1492.20449231629</v>
      </c>
      <c r="V7" s="82">
        <v>1422.49387055338</v>
      </c>
      <c r="W7" s="82">
        <v>1163.6073776072999</v>
      </c>
      <c r="X7" s="82">
        <v>1273.46160051181</v>
      </c>
      <c r="Y7" s="118">
        <v>989.15216863827698</v>
      </c>
      <c r="Z7" s="118">
        <v>903.65420759333904</v>
      </c>
    </row>
    <row r="8" spans="1:26">
      <c r="B8" s="24" t="s">
        <v>76</v>
      </c>
      <c r="C8" s="58" t="s">
        <v>269</v>
      </c>
      <c r="D8" s="82">
        <v>170.97521278140499</v>
      </c>
      <c r="E8" s="82">
        <v>172.55809783768601</v>
      </c>
      <c r="F8" s="82">
        <v>193.33147284396699</v>
      </c>
      <c r="G8" s="82">
        <v>206.08057270024801</v>
      </c>
      <c r="H8" s="82">
        <v>208.262380450248</v>
      </c>
      <c r="I8" s="82">
        <v>266.84119642110801</v>
      </c>
      <c r="J8" s="82">
        <v>219.858507831325</v>
      </c>
      <c r="K8" s="82">
        <v>165.2216</v>
      </c>
      <c r="L8" s="82">
        <v>157.46591599999999</v>
      </c>
      <c r="M8" s="82">
        <v>190.097903</v>
      </c>
      <c r="N8" s="82">
        <v>244.18799300000001</v>
      </c>
      <c r="O8" s="82">
        <v>222.01383899999999</v>
      </c>
      <c r="P8" s="82">
        <v>195.143983615385</v>
      </c>
      <c r="Q8" s="82">
        <v>208.989494692308</v>
      </c>
      <c r="R8" s="82">
        <v>156.23660838500001</v>
      </c>
      <c r="S8" s="82">
        <v>183.60134869999999</v>
      </c>
      <c r="T8" s="82">
        <v>187.422642</v>
      </c>
      <c r="U8" s="82">
        <v>178.026948</v>
      </c>
      <c r="V8" s="82">
        <v>218.20849100000001</v>
      </c>
      <c r="W8" s="82">
        <v>246.19680369924799</v>
      </c>
      <c r="X8" s="82">
        <v>222.547275747165</v>
      </c>
      <c r="Y8" s="118">
        <v>227.08458949071999</v>
      </c>
      <c r="Z8" s="118">
        <v>390.30483951852102</v>
      </c>
    </row>
    <row r="9" spans="1:26">
      <c r="B9" s="24" t="s">
        <v>43</v>
      </c>
      <c r="C9" s="58" t="s">
        <v>269</v>
      </c>
      <c r="D9" s="82">
        <v>5970.7605808743101</v>
      </c>
      <c r="E9" s="82">
        <v>6161.7188867053401</v>
      </c>
      <c r="F9" s="82">
        <v>6518.5218924917999</v>
      </c>
      <c r="G9" s="82">
        <v>6651.4515082486696</v>
      </c>
      <c r="H9" s="82">
        <v>6476.0507962621004</v>
      </c>
      <c r="I9" s="82">
        <v>6185.9743671104097</v>
      </c>
      <c r="J9" s="82">
        <v>6065.6567872881897</v>
      </c>
      <c r="K9" s="82">
        <v>4868.8492466693697</v>
      </c>
      <c r="L9" s="82">
        <v>4007.52681280152</v>
      </c>
      <c r="M9" s="82">
        <v>3891.4378482530201</v>
      </c>
      <c r="N9" s="82">
        <v>4710.9277462238197</v>
      </c>
      <c r="O9" s="82">
        <v>4520.4769757519298</v>
      </c>
      <c r="P9" s="82">
        <v>4157.6171440312401</v>
      </c>
      <c r="Q9" s="82">
        <v>4123.0900522373204</v>
      </c>
      <c r="R9" s="82">
        <v>4372.0523671511901</v>
      </c>
      <c r="S9" s="82">
        <v>4598.3094294429602</v>
      </c>
      <c r="T9" s="82">
        <v>4896.1582848424896</v>
      </c>
      <c r="U9" s="82">
        <v>4723.8657252126704</v>
      </c>
      <c r="V9" s="82">
        <v>4122.1934758180596</v>
      </c>
      <c r="W9" s="82">
        <v>4330.8878817099803</v>
      </c>
      <c r="X9" s="82">
        <v>4457.2861890165696</v>
      </c>
      <c r="Y9" s="118">
        <v>3614.5803762209598</v>
      </c>
      <c r="Z9" s="118">
        <v>3469.1618563740999</v>
      </c>
    </row>
    <row r="10" spans="1:26">
      <c r="A10" t="s">
        <v>2</v>
      </c>
      <c r="D10" s="82"/>
      <c r="E10" s="82"/>
      <c r="F10" s="82"/>
      <c r="G10" s="82"/>
      <c r="H10" s="82"/>
      <c r="I10" s="82"/>
      <c r="J10" s="82"/>
      <c r="K10" s="82"/>
      <c r="L10" s="82"/>
      <c r="M10" s="82"/>
      <c r="N10" s="82"/>
      <c r="O10" s="82"/>
      <c r="P10" s="82"/>
      <c r="Q10" s="82"/>
      <c r="R10" s="82"/>
      <c r="S10" s="82"/>
      <c r="T10" s="82"/>
      <c r="U10" s="82"/>
      <c r="V10" s="82"/>
      <c r="W10" s="82"/>
      <c r="X10" s="82"/>
      <c r="Y10" s="118"/>
      <c r="Z10" s="118"/>
    </row>
    <row r="11" spans="1:26">
      <c r="A11" s="23" t="s">
        <v>42</v>
      </c>
      <c r="D11" s="82"/>
      <c r="E11" s="82"/>
      <c r="F11" s="82"/>
      <c r="G11" s="82"/>
      <c r="H11" s="82"/>
      <c r="I11" s="82"/>
      <c r="J11" s="82"/>
      <c r="K11" s="82"/>
      <c r="L11" s="82"/>
      <c r="M11" s="82"/>
      <c r="N11" s="82"/>
      <c r="O11" s="82"/>
      <c r="P11" s="82"/>
      <c r="Q11" s="82"/>
      <c r="R11" s="82"/>
      <c r="S11" s="82"/>
      <c r="T11" s="82"/>
      <c r="U11" s="82"/>
      <c r="V11" s="82"/>
      <c r="W11" s="82"/>
      <c r="X11" s="82"/>
      <c r="Y11" s="118"/>
      <c r="Z11" s="118"/>
    </row>
    <row r="12" spans="1:26">
      <c r="B12" s="11" t="s">
        <v>398</v>
      </c>
      <c r="C12" s="58" t="s">
        <v>269</v>
      </c>
      <c r="D12" s="82">
        <v>8969.5716642203206</v>
      </c>
      <c r="E12" s="82">
        <v>9641.4267518151592</v>
      </c>
      <c r="F12" s="82">
        <v>10326.978575774499</v>
      </c>
      <c r="G12" s="82">
        <v>10166.9362966436</v>
      </c>
      <c r="H12" s="82">
        <v>9873.7834436600897</v>
      </c>
      <c r="I12" s="82">
        <v>9377.9217320009793</v>
      </c>
      <c r="J12" s="82">
        <v>10564.729157334999</v>
      </c>
      <c r="K12" s="82">
        <v>8606.7910854109505</v>
      </c>
      <c r="L12" s="82">
        <v>9904.7808030973592</v>
      </c>
      <c r="M12" s="82">
        <v>9479.4959936335708</v>
      </c>
      <c r="N12" s="82">
        <v>8607.7653240748605</v>
      </c>
      <c r="O12" s="82">
        <v>8494.2938132562194</v>
      </c>
      <c r="P12" s="82">
        <v>9259.3586787269396</v>
      </c>
      <c r="Q12" s="82">
        <v>9973.3538226730798</v>
      </c>
      <c r="R12" s="82">
        <v>9818.1986227498601</v>
      </c>
      <c r="S12" s="82">
        <v>9907.2767099573502</v>
      </c>
      <c r="T12" s="82">
        <v>10724.281365561301</v>
      </c>
      <c r="U12" s="82">
        <v>10455.5328800927</v>
      </c>
      <c r="V12" s="82">
        <v>9414.3358123486505</v>
      </c>
      <c r="W12" s="82">
        <v>10002.4275347402</v>
      </c>
      <c r="X12" s="82">
        <v>10926.8997063394</v>
      </c>
      <c r="Y12" s="118">
        <v>9725.2176182911007</v>
      </c>
      <c r="Z12" s="118">
        <v>8767.1992940015898</v>
      </c>
    </row>
    <row r="13" spans="1:26">
      <c r="B13" s="11" t="s">
        <v>357</v>
      </c>
      <c r="C13" s="58" t="s">
        <v>269</v>
      </c>
      <c r="D13" s="82">
        <v>1386.3566000000001</v>
      </c>
      <c r="E13" s="82">
        <v>1543.0010500000001</v>
      </c>
      <c r="F13" s="82">
        <v>1273.74581524</v>
      </c>
      <c r="G13" s="82">
        <v>1118.3844812499999</v>
      </c>
      <c r="H13" s="82">
        <v>1330.6373814000001</v>
      </c>
      <c r="I13" s="82">
        <v>1194.6384442168901</v>
      </c>
      <c r="J13" s="82">
        <v>1300.8471952</v>
      </c>
      <c r="K13" s="82">
        <v>973.12475759999995</v>
      </c>
      <c r="L13" s="82">
        <v>1220.7560908</v>
      </c>
      <c r="M13" s="82">
        <v>1305.50676426667</v>
      </c>
      <c r="N13" s="82">
        <v>1428.68576128</v>
      </c>
      <c r="O13" s="82">
        <v>1189.6473344799999</v>
      </c>
      <c r="P13" s="82">
        <v>1095.9758859999999</v>
      </c>
      <c r="Q13" s="82">
        <v>1167.9712764000001</v>
      </c>
      <c r="R13" s="82">
        <v>1338.81603976</v>
      </c>
      <c r="S13" s="82">
        <v>1669.96361103924</v>
      </c>
      <c r="T13" s="82">
        <v>1429.4618264799999</v>
      </c>
      <c r="U13" s="82">
        <v>1398.42271704</v>
      </c>
      <c r="V13" s="82">
        <v>1522.6220638</v>
      </c>
      <c r="W13" s="82">
        <v>1703.4101581800001</v>
      </c>
      <c r="X13" s="82">
        <v>1636.01953488</v>
      </c>
      <c r="Y13" s="118">
        <v>1604.52096338</v>
      </c>
      <c r="Z13" s="118">
        <v>1746.0870307979999</v>
      </c>
    </row>
    <row r="14" spans="1:26">
      <c r="B14" s="24" t="s">
        <v>51</v>
      </c>
      <c r="C14" s="58" t="s">
        <v>269</v>
      </c>
      <c r="D14" s="82">
        <v>3300.4005829827802</v>
      </c>
      <c r="E14" s="82">
        <v>3788.21231842818</v>
      </c>
      <c r="F14" s="82">
        <v>3934.8587055297098</v>
      </c>
      <c r="G14" s="82">
        <v>3947.5237911590698</v>
      </c>
      <c r="H14" s="82">
        <v>3979.9036345413301</v>
      </c>
      <c r="I14" s="82">
        <v>4013.2306367713099</v>
      </c>
      <c r="J14" s="82">
        <v>4238.3551733805698</v>
      </c>
      <c r="K14" s="82">
        <v>4103.83986837272</v>
      </c>
      <c r="L14" s="82">
        <v>3963.67888265581</v>
      </c>
      <c r="M14" s="82">
        <v>4550.7473539222901</v>
      </c>
      <c r="N14" s="82">
        <v>4024.6955731405801</v>
      </c>
      <c r="O14" s="82">
        <v>4013.7076152022501</v>
      </c>
      <c r="P14" s="82">
        <v>3851.8945597161101</v>
      </c>
      <c r="Q14" s="82">
        <v>3796.3761349456299</v>
      </c>
      <c r="R14" s="82">
        <v>4011.0293103709901</v>
      </c>
      <c r="S14" s="82">
        <v>4007.6397874450599</v>
      </c>
      <c r="T14" s="82">
        <v>4162.5761845647403</v>
      </c>
      <c r="U14" s="82">
        <v>4036.6590095594502</v>
      </c>
      <c r="V14" s="82">
        <v>3911.4888006828601</v>
      </c>
      <c r="W14" s="82">
        <v>3687.87779421102</v>
      </c>
      <c r="X14" s="82">
        <v>4032.4906749563302</v>
      </c>
      <c r="Y14" s="118">
        <v>3951.2598272793598</v>
      </c>
      <c r="Z14" s="118">
        <v>3786.2041133995399</v>
      </c>
    </row>
    <row r="15" spans="1:26">
      <c r="B15" s="24" t="s">
        <v>76</v>
      </c>
      <c r="C15" s="58" t="s">
        <v>269</v>
      </c>
      <c r="D15" s="82">
        <v>415.43603000000002</v>
      </c>
      <c r="E15" s="82">
        <v>377.07821999999999</v>
      </c>
      <c r="F15" s="82">
        <v>343.39748400000002</v>
      </c>
      <c r="G15" s="82">
        <v>346.64658537634398</v>
      </c>
      <c r="H15" s="82">
        <v>415.0715065</v>
      </c>
      <c r="I15" s="82">
        <v>486.36739408453002</v>
      </c>
      <c r="J15" s="82">
        <v>399.83259099999998</v>
      </c>
      <c r="K15" s="82">
        <v>391.52741700000001</v>
      </c>
      <c r="L15" s="82">
        <v>394.326055</v>
      </c>
      <c r="M15" s="82">
        <v>361.22974999999701</v>
      </c>
      <c r="N15" s="82">
        <v>383.48046200000198</v>
      </c>
      <c r="O15" s="82">
        <v>418.25708419999802</v>
      </c>
      <c r="P15" s="82">
        <v>368.50280600000002</v>
      </c>
      <c r="Q15" s="82">
        <v>320.19925699999999</v>
      </c>
      <c r="R15" s="82">
        <v>333.01272699999998</v>
      </c>
      <c r="S15" s="82">
        <v>315.55755499999998</v>
      </c>
      <c r="T15" s="82">
        <v>392.293927</v>
      </c>
      <c r="U15" s="82">
        <v>448.56798300000003</v>
      </c>
      <c r="V15" s="82">
        <v>534.75439439116303</v>
      </c>
      <c r="W15" s="82">
        <v>576.74867700000004</v>
      </c>
      <c r="X15" s="82">
        <v>457.57837979999999</v>
      </c>
      <c r="Y15" s="118">
        <v>417.55118299073303</v>
      </c>
      <c r="Z15" s="118">
        <v>422.50982503999899</v>
      </c>
    </row>
    <row r="16" spans="1:26">
      <c r="B16" s="24" t="s">
        <v>43</v>
      </c>
      <c r="C16" s="58" t="s">
        <v>269</v>
      </c>
      <c r="D16" s="82">
        <v>14071.764877203101</v>
      </c>
      <c r="E16" s="82">
        <v>15349.7183402434</v>
      </c>
      <c r="F16" s="82">
        <v>15878.980580544199</v>
      </c>
      <c r="G16" s="82">
        <v>15579.491154429001</v>
      </c>
      <c r="H16" s="82">
        <v>15599.3959661014</v>
      </c>
      <c r="I16" s="82">
        <v>15072.1582070737</v>
      </c>
      <c r="J16" s="82">
        <v>16503.764116915601</v>
      </c>
      <c r="K16" s="82">
        <v>14075.2831283837</v>
      </c>
      <c r="L16" s="82">
        <v>15483.541831553201</v>
      </c>
      <c r="M16" s="82">
        <v>15696.9798618225</v>
      </c>
      <c r="N16" s="82">
        <v>14444.627120495499</v>
      </c>
      <c r="O16" s="82">
        <v>14115.9058471385</v>
      </c>
      <c r="P16" s="82">
        <v>14575.731930443</v>
      </c>
      <c r="Q16" s="82">
        <v>15257.9004910187</v>
      </c>
      <c r="R16" s="82">
        <v>15501.056699880901</v>
      </c>
      <c r="S16" s="82">
        <v>15900.4376634417</v>
      </c>
      <c r="T16" s="82">
        <v>16708.613303605998</v>
      </c>
      <c r="U16" s="82">
        <v>16339.1825896922</v>
      </c>
      <c r="V16" s="82">
        <v>15383.2010712228</v>
      </c>
      <c r="W16" s="82">
        <v>15970.464164131199</v>
      </c>
      <c r="X16" s="82">
        <v>17052.988295975701</v>
      </c>
      <c r="Y16" s="118">
        <v>15698.549591941201</v>
      </c>
      <c r="Z16" s="118">
        <v>14722.000263239101</v>
      </c>
    </row>
    <row r="17" spans="1:26">
      <c r="A17" t="s">
        <v>2</v>
      </c>
      <c r="D17" s="82"/>
      <c r="E17" s="82"/>
      <c r="F17" s="82"/>
      <c r="G17" s="82"/>
      <c r="H17" s="82"/>
      <c r="I17" s="82"/>
      <c r="J17" s="82"/>
      <c r="K17" s="82"/>
      <c r="L17" s="82"/>
      <c r="M17" s="82"/>
      <c r="N17" s="82"/>
      <c r="O17" s="82"/>
      <c r="P17" s="82"/>
      <c r="Q17" s="82"/>
      <c r="R17" s="82"/>
      <c r="S17" s="82"/>
      <c r="T17" s="82"/>
      <c r="U17" s="82"/>
      <c r="V17" s="82"/>
      <c r="W17" s="82"/>
      <c r="X17" s="82"/>
      <c r="Y17" s="118"/>
      <c r="Z17" s="118"/>
    </row>
    <row r="18" spans="1:26">
      <c r="A18" s="23" t="s">
        <v>86</v>
      </c>
      <c r="D18" s="82"/>
      <c r="E18" s="82"/>
      <c r="F18" s="82"/>
      <c r="G18" s="82"/>
      <c r="H18" s="82"/>
      <c r="I18" s="82"/>
      <c r="J18" s="82"/>
      <c r="K18" s="82"/>
      <c r="L18" s="82"/>
      <c r="M18" s="82"/>
      <c r="N18" s="82"/>
      <c r="O18" s="82"/>
      <c r="P18" s="82"/>
      <c r="Q18" s="82"/>
      <c r="R18" s="82"/>
      <c r="S18" s="82"/>
      <c r="T18" s="82"/>
      <c r="U18" s="82"/>
      <c r="V18" s="82"/>
      <c r="W18" s="82"/>
      <c r="X18" s="82"/>
      <c r="Y18" s="118"/>
      <c r="Z18" s="118"/>
    </row>
    <row r="19" spans="1:26">
      <c r="B19" s="11" t="s">
        <v>398</v>
      </c>
      <c r="C19" s="58" t="s">
        <v>269</v>
      </c>
      <c r="D19" s="82">
        <v>12998.3577595364</v>
      </c>
      <c r="E19" s="82">
        <v>13710.9629734478</v>
      </c>
      <c r="F19" s="82">
        <v>14463.460597159799</v>
      </c>
      <c r="G19" s="82">
        <v>14320.6129607208</v>
      </c>
      <c r="H19" s="82">
        <v>13832.319036761201</v>
      </c>
      <c r="I19" s="82">
        <v>13077.2175676344</v>
      </c>
      <c r="J19" s="82">
        <v>14146.2024953236</v>
      </c>
      <c r="K19" s="82">
        <v>11201.4121493321</v>
      </c>
      <c r="L19" s="82">
        <v>11766.9021448769</v>
      </c>
      <c r="M19" s="82">
        <v>11191.831534721099</v>
      </c>
      <c r="N19" s="82">
        <v>11094.4422212667</v>
      </c>
      <c r="O19" s="82">
        <v>10755.4100275525</v>
      </c>
      <c r="P19" s="82">
        <v>11244.2698118555</v>
      </c>
      <c r="Q19" s="82">
        <v>11995.412627231801</v>
      </c>
      <c r="R19" s="82">
        <v>12222.2196457269</v>
      </c>
      <c r="S19" s="82">
        <v>12592.523992373899</v>
      </c>
      <c r="T19" s="82">
        <v>13736.8996382847</v>
      </c>
      <c r="U19" s="82">
        <v>13347.6494749091</v>
      </c>
      <c r="V19" s="82">
        <v>11770.4889573733</v>
      </c>
      <c r="W19" s="82">
        <v>12790.216482223601</v>
      </c>
      <c r="X19" s="82">
        <v>13746.572171377</v>
      </c>
      <c r="Y19" s="118">
        <v>12000.812360343099</v>
      </c>
      <c r="Z19" s="118">
        <v>10806.1945311216</v>
      </c>
    </row>
    <row r="20" spans="1:26">
      <c r="B20" s="11" t="s">
        <v>357</v>
      </c>
      <c r="C20" s="58" t="s">
        <v>269</v>
      </c>
      <c r="D20" s="82">
        <v>1451.0334</v>
      </c>
      <c r="E20" s="82">
        <v>1569.2682500000001</v>
      </c>
      <c r="F20" s="82">
        <v>1340.4234329881499</v>
      </c>
      <c r="G20" s="82">
        <v>1183.5880324499999</v>
      </c>
      <c r="H20" s="82">
        <v>1400.820651</v>
      </c>
      <c r="I20" s="82">
        <v>1282.69942357689</v>
      </c>
      <c r="J20" s="82">
        <v>1383.7991429599999</v>
      </c>
      <c r="K20" s="82">
        <v>1029.2055008</v>
      </c>
      <c r="L20" s="82">
        <v>1304.8055612799999</v>
      </c>
      <c r="M20" s="82">
        <v>1404.07618946667</v>
      </c>
      <c r="N20" s="82">
        <v>1567.6670452000001</v>
      </c>
      <c r="O20" s="82">
        <v>1315.0778676</v>
      </c>
      <c r="P20" s="82">
        <v>1266.10327416</v>
      </c>
      <c r="Q20" s="82">
        <v>1322.0960899199999</v>
      </c>
      <c r="R20" s="82">
        <v>1514.5781454</v>
      </c>
      <c r="S20" s="82">
        <v>1869.7986853592399</v>
      </c>
      <c r="T20" s="82">
        <v>1615.19073832</v>
      </c>
      <c r="U20" s="82">
        <v>1559.9404071199999</v>
      </c>
      <c r="V20" s="82">
        <v>1647.9600330400001</v>
      </c>
      <c r="W20" s="82">
        <v>1836.7049110999999</v>
      </c>
      <c r="X20" s="82">
        <v>1777.6243826</v>
      </c>
      <c r="Y20" s="118">
        <v>1727.2698394199999</v>
      </c>
      <c r="Z20" s="118">
        <v>1882.2946029402201</v>
      </c>
    </row>
    <row r="21" spans="1:26">
      <c r="B21" s="24" t="s">
        <v>51</v>
      </c>
      <c r="C21" s="58" t="s">
        <v>269</v>
      </c>
      <c r="D21" s="82">
        <v>5006.7230557595603</v>
      </c>
      <c r="E21" s="82">
        <v>5681.5696856632103</v>
      </c>
      <c r="F21" s="82">
        <v>6056.8894860440496</v>
      </c>
      <c r="G21" s="82">
        <v>6174.0145114303205</v>
      </c>
      <c r="H21" s="82">
        <v>6218.97318765206</v>
      </c>
      <c r="I21" s="82">
        <v>6145.0069924671598</v>
      </c>
      <c r="J21" s="82">
        <v>6419.7281670888096</v>
      </c>
      <c r="K21" s="82">
        <v>6156.7657079209903</v>
      </c>
      <c r="L21" s="82">
        <v>5867.5689671977598</v>
      </c>
      <c r="M21" s="82">
        <v>6441.1823328877999</v>
      </c>
      <c r="N21" s="82">
        <v>5865.7771452526104</v>
      </c>
      <c r="O21" s="82">
        <v>5925.62400453788</v>
      </c>
      <c r="P21" s="82">
        <v>5659.3291988434403</v>
      </c>
      <c r="Q21" s="82">
        <v>5534.2930744119503</v>
      </c>
      <c r="R21" s="82">
        <v>5647.0619405200996</v>
      </c>
      <c r="S21" s="82">
        <v>5537.2655114515001</v>
      </c>
      <c r="T21" s="82">
        <v>5672.96464284382</v>
      </c>
      <c r="U21" s="82">
        <v>5528.8635018757404</v>
      </c>
      <c r="V21" s="82">
        <v>5333.9826712362401</v>
      </c>
      <c r="W21" s="82">
        <v>4851.4851718183199</v>
      </c>
      <c r="X21" s="82">
        <v>5305.9522754681402</v>
      </c>
      <c r="Y21" s="118">
        <v>4940.4119959176396</v>
      </c>
      <c r="Z21" s="118">
        <v>4689.8583209928802</v>
      </c>
    </row>
    <row r="22" spans="1:26">
      <c r="B22" s="24" t="s">
        <v>76</v>
      </c>
      <c r="C22" s="58" t="s">
        <v>269</v>
      </c>
      <c r="D22" s="82">
        <v>586.41124278140501</v>
      </c>
      <c r="E22" s="82">
        <v>549.63631783768597</v>
      </c>
      <c r="F22" s="82">
        <v>536.72895684396701</v>
      </c>
      <c r="G22" s="82">
        <v>552.72715807659199</v>
      </c>
      <c r="H22" s="82">
        <v>623.33388695024803</v>
      </c>
      <c r="I22" s="82">
        <v>753.20859050563797</v>
      </c>
      <c r="J22" s="82">
        <v>619.69109883132501</v>
      </c>
      <c r="K22" s="82">
        <v>556.74901699999998</v>
      </c>
      <c r="L22" s="82">
        <v>551.79197099999999</v>
      </c>
      <c r="M22" s="82">
        <v>551.32765299999699</v>
      </c>
      <c r="N22" s="82">
        <v>627.66845500000204</v>
      </c>
      <c r="O22" s="82">
        <v>640.27092319999804</v>
      </c>
      <c r="P22" s="82">
        <v>563.64678961538505</v>
      </c>
      <c r="Q22" s="82">
        <v>529.18875169230796</v>
      </c>
      <c r="R22" s="82">
        <v>489.24933538499999</v>
      </c>
      <c r="S22" s="82">
        <v>499.1589037</v>
      </c>
      <c r="T22" s="82">
        <v>579.71656900000005</v>
      </c>
      <c r="U22" s="82">
        <v>626.59493099999997</v>
      </c>
      <c r="V22" s="82">
        <v>752.96288539116301</v>
      </c>
      <c r="W22" s="82">
        <v>822.94548069924804</v>
      </c>
      <c r="X22" s="82">
        <v>680.12565554716502</v>
      </c>
      <c r="Y22" s="118">
        <v>644.63577248145305</v>
      </c>
      <c r="Z22" s="118">
        <v>812.81466455852001</v>
      </c>
    </row>
    <row r="23" spans="1:26">
      <c r="B23" s="24" t="s">
        <v>43</v>
      </c>
      <c r="C23" s="58" t="s">
        <v>269</v>
      </c>
      <c r="D23" s="82">
        <v>20042.525458077402</v>
      </c>
      <c r="E23" s="82">
        <v>21511.437226948699</v>
      </c>
      <c r="F23" s="82">
        <v>22397.502473035998</v>
      </c>
      <c r="G23" s="82">
        <v>22230.942662677699</v>
      </c>
      <c r="H23" s="82">
        <v>22075.446762363499</v>
      </c>
      <c r="I23" s="82">
        <v>21258.132574184099</v>
      </c>
      <c r="J23" s="82">
        <v>22569.4209042037</v>
      </c>
      <c r="K23" s="82">
        <v>18944.132375053101</v>
      </c>
      <c r="L23" s="82">
        <v>19491.068644354698</v>
      </c>
      <c r="M23" s="82">
        <v>19588.417710075599</v>
      </c>
      <c r="N23" s="82">
        <v>19155.5548667193</v>
      </c>
      <c r="O23" s="82">
        <v>18636.382822890399</v>
      </c>
      <c r="P23" s="82">
        <v>18733.349074474299</v>
      </c>
      <c r="Q23" s="82">
        <v>19380.990543256099</v>
      </c>
      <c r="R23" s="82">
        <v>19873.109067032001</v>
      </c>
      <c r="S23" s="82">
        <v>20498.747092884601</v>
      </c>
      <c r="T23" s="82">
        <v>21604.771588448501</v>
      </c>
      <c r="U23" s="82">
        <v>21063.048314904801</v>
      </c>
      <c r="V23" s="82">
        <v>19505.394547040702</v>
      </c>
      <c r="W23" s="82">
        <v>20301.352045841199</v>
      </c>
      <c r="X23" s="82">
        <v>21510.2744849923</v>
      </c>
      <c r="Y23" s="118">
        <v>19313.1299681622</v>
      </c>
      <c r="Z23" s="118">
        <v>18191.1621196132</v>
      </c>
    </row>
    <row r="24" spans="1:26">
      <c r="A24" t="s">
        <v>2</v>
      </c>
      <c r="D24" s="82"/>
      <c r="E24" s="82"/>
      <c r="F24" s="82"/>
      <c r="G24" s="82"/>
      <c r="H24" s="82"/>
      <c r="I24" s="82"/>
      <c r="J24" s="82"/>
      <c r="K24" s="82"/>
      <c r="L24" s="82"/>
      <c r="M24" s="82"/>
      <c r="N24" s="82"/>
      <c r="O24" s="82"/>
      <c r="P24" s="82"/>
      <c r="Q24" s="82"/>
      <c r="R24" s="82"/>
      <c r="S24" s="82"/>
      <c r="T24" s="82"/>
      <c r="U24" s="82"/>
      <c r="V24" s="82"/>
      <c r="W24" s="82"/>
      <c r="X24" s="82"/>
      <c r="Y24" s="120"/>
      <c r="Z24" s="120"/>
    </row>
    <row r="25" spans="1:26">
      <c r="D25" s="82"/>
      <c r="E25" s="82"/>
      <c r="F25" s="82"/>
      <c r="G25" s="82"/>
      <c r="H25" s="82"/>
      <c r="I25" s="82"/>
      <c r="J25" s="82"/>
      <c r="K25" s="82"/>
      <c r="L25" s="82"/>
      <c r="M25" s="82"/>
      <c r="N25" s="82"/>
      <c r="O25" s="82"/>
      <c r="P25" s="82"/>
      <c r="Q25" s="82"/>
      <c r="R25" s="82"/>
      <c r="S25" s="82"/>
      <c r="T25" s="82"/>
      <c r="U25" s="82"/>
      <c r="V25" s="82"/>
      <c r="W25" s="82"/>
      <c r="X25" s="82"/>
      <c r="Y25" s="120"/>
      <c r="Z25" s="120"/>
    </row>
    <row r="26" spans="1:26">
      <c r="A26" s="35" t="s">
        <v>88</v>
      </c>
      <c r="B26" s="26"/>
      <c r="C26" s="59" t="s">
        <v>270</v>
      </c>
      <c r="D26" s="92">
        <v>1.0280743556020899</v>
      </c>
      <c r="E26" s="92">
        <v>1.09080290594356</v>
      </c>
      <c r="F26" s="92">
        <v>1.12365498666143</v>
      </c>
      <c r="G26" s="92">
        <v>1.1018047551280901</v>
      </c>
      <c r="H26" s="92">
        <v>1.0794329599082799</v>
      </c>
      <c r="I26" s="92">
        <v>1.0206701741650599</v>
      </c>
      <c r="J26" s="92">
        <v>1.06213043156138</v>
      </c>
      <c r="K26" s="92">
        <v>0.87333742500182499</v>
      </c>
      <c r="L26" s="92">
        <v>0.88468091024792395</v>
      </c>
      <c r="M26" s="92">
        <v>0.87683064754431805</v>
      </c>
      <c r="N26" s="92">
        <v>0.84261483529762404</v>
      </c>
      <c r="O26" s="92">
        <v>0.80578860585265699</v>
      </c>
      <c r="P26" s="92">
        <v>0.79798942081923796</v>
      </c>
      <c r="Q26" s="92">
        <v>0.81378042543492701</v>
      </c>
      <c r="R26" s="92">
        <v>0.82151153187567505</v>
      </c>
      <c r="S26" s="92">
        <v>0.83321940263397198</v>
      </c>
      <c r="T26" s="92">
        <v>0.86478971311847996</v>
      </c>
      <c r="U26" s="92">
        <v>0.83138798470502195</v>
      </c>
      <c r="V26" s="92">
        <v>0.760466527012437</v>
      </c>
      <c r="W26" s="92">
        <v>0.79038488969769605</v>
      </c>
      <c r="X26" s="92">
        <v>0.82686029602805799</v>
      </c>
      <c r="Y26" s="121">
        <v>0.73116614953630499</v>
      </c>
      <c r="Z26" s="121">
        <v>0.66893044595994799</v>
      </c>
    </row>
    <row r="27" spans="1:26" ht="83.25" customHeight="1">
      <c r="D27" s="167" t="s">
        <v>395</v>
      </c>
      <c r="E27" s="167"/>
      <c r="F27" s="167"/>
      <c r="G27" s="167"/>
      <c r="H27" s="167"/>
      <c r="I27" s="167"/>
      <c r="J27" s="167"/>
      <c r="K27" s="167"/>
      <c r="L27" s="167"/>
      <c r="M27" s="167"/>
      <c r="N27" s="167"/>
      <c r="O27" s="167"/>
      <c r="P27" s="167"/>
      <c r="Q27" s="167"/>
      <c r="R27" s="167"/>
      <c r="S27" s="167"/>
      <c r="T27" s="167"/>
      <c r="U27" s="167"/>
      <c r="V27" s="167"/>
      <c r="W27" s="167"/>
      <c r="X27" s="167"/>
      <c r="Y27" s="167"/>
      <c r="Z27" s="167"/>
    </row>
    <row r="28" spans="1:26">
      <c r="A28" t="s">
        <v>2</v>
      </c>
    </row>
    <row r="29" spans="1:26">
      <c r="A29" t="s">
        <v>2</v>
      </c>
    </row>
    <row r="30" spans="1:26">
      <c r="A30" t="s">
        <v>2</v>
      </c>
    </row>
    <row r="31" spans="1:26">
      <c r="A31" t="s">
        <v>2</v>
      </c>
    </row>
    <row r="32" spans="1:26">
      <c r="A32" t="s">
        <v>2</v>
      </c>
    </row>
    <row r="33" spans="1:1">
      <c r="A33" t="s">
        <v>2</v>
      </c>
    </row>
    <row r="34" spans="1:1">
      <c r="A34" t="s">
        <v>2</v>
      </c>
    </row>
    <row r="35" spans="1:1">
      <c r="A35" t="s">
        <v>2</v>
      </c>
    </row>
    <row r="36" spans="1:1">
      <c r="A36" t="s">
        <v>2</v>
      </c>
    </row>
  </sheetData>
  <mergeCells count="2">
    <mergeCell ref="A2:X2"/>
    <mergeCell ref="D27:Z27"/>
  </mergeCells>
  <phoneticPr fontId="14" type="noConversion"/>
  <conditionalFormatting sqref="D5:Z26">
    <cfRule type="cellIs" dxfId="49" priority="1" operator="lessThan">
      <formula>0</formula>
    </cfRule>
  </conditionalFormatting>
  <pageMargins left="0.7" right="0.7" top="0.75" bottom="0.75" header="0.3" footer="0.3"/>
  <pageSetup paperSize="9" orientation="portrait" r:id="rId1"/>
  <headerFooter>
    <oddHeader>&amp;C&amp;"Calibri"&amp;12&amp;KFF0000 OFFICIAL&amp;1#_x000D_</oddHeader>
    <oddFooter>&amp;C_x000D_&amp;1#&amp;"Calibri"&amp;12&amp;KFF0000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15F03-0514-487F-9D5F-7DAAC32865BD}">
  <dimension ref="A1:Z30"/>
  <sheetViews>
    <sheetView topLeftCell="D1" zoomScaleNormal="100" workbookViewId="0">
      <selection activeCell="A13" sqref="A13:N13"/>
    </sheetView>
  </sheetViews>
  <sheetFormatPr defaultColWidth="9.26953125" defaultRowHeight="14.5"/>
  <cols>
    <col min="1" max="1" width="3" customWidth="1"/>
    <col min="2" max="2" width="21.26953125" bestFit="1" customWidth="1"/>
    <col min="3" max="3" width="7.26953125" bestFit="1" customWidth="1"/>
    <col min="4" max="23" width="7" bestFit="1" customWidth="1"/>
    <col min="24" max="26" width="7.1796875" customWidth="1"/>
  </cols>
  <sheetData>
    <row r="1" spans="1:26" ht="71.25" customHeight="1">
      <c r="A1" t="s">
        <v>2</v>
      </c>
    </row>
    <row r="2" spans="1:26" ht="21">
      <c r="A2" s="162" t="s">
        <v>89</v>
      </c>
      <c r="B2" s="162"/>
      <c r="C2" s="162"/>
      <c r="D2" s="162"/>
      <c r="E2" s="162"/>
      <c r="F2" s="162"/>
      <c r="G2" s="162"/>
      <c r="H2" s="162"/>
      <c r="I2" s="162"/>
      <c r="J2" s="162"/>
      <c r="K2" s="162"/>
      <c r="L2" s="162"/>
      <c r="M2" s="162"/>
      <c r="N2" s="162"/>
      <c r="O2" s="162"/>
      <c r="P2" s="162"/>
      <c r="Q2" s="162"/>
      <c r="R2" s="162"/>
      <c r="S2" s="162"/>
      <c r="T2" s="162"/>
      <c r="U2" s="162"/>
      <c r="V2" s="162"/>
      <c r="W2" s="162"/>
      <c r="X2" s="162"/>
    </row>
    <row r="3" spans="1:26" s="21" customFormat="1" ht="12">
      <c r="A3" s="64" t="s">
        <v>38</v>
      </c>
      <c r="B3" s="64" t="s">
        <v>38</v>
      </c>
      <c r="C3" s="66" t="s">
        <v>37</v>
      </c>
      <c r="D3" s="64" t="s">
        <v>296</v>
      </c>
      <c r="E3" s="64" t="s">
        <v>297</v>
      </c>
      <c r="F3" s="64" t="s">
        <v>298</v>
      </c>
      <c r="G3" s="64" t="s">
        <v>299</v>
      </c>
      <c r="H3" s="64" t="s">
        <v>300</v>
      </c>
      <c r="I3" s="64" t="s">
        <v>281</v>
      </c>
      <c r="J3" s="64" t="s">
        <v>282</v>
      </c>
      <c r="K3" s="64" t="s">
        <v>283</v>
      </c>
      <c r="L3" s="64" t="s">
        <v>284</v>
      </c>
      <c r="M3" s="64" t="s">
        <v>285</v>
      </c>
      <c r="N3" s="64" t="s">
        <v>286</v>
      </c>
      <c r="O3" s="64" t="s">
        <v>287</v>
      </c>
      <c r="P3" s="64" t="s">
        <v>288</v>
      </c>
      <c r="Q3" s="64" t="s">
        <v>289</v>
      </c>
      <c r="R3" s="64" t="s">
        <v>290</v>
      </c>
      <c r="S3" s="64" t="s">
        <v>291</v>
      </c>
      <c r="T3" s="64" t="s">
        <v>292</v>
      </c>
      <c r="U3" s="64" t="s">
        <v>293</v>
      </c>
      <c r="V3" s="64" t="s">
        <v>294</v>
      </c>
      <c r="W3" s="64" t="s">
        <v>295</v>
      </c>
      <c r="X3" s="64" t="s">
        <v>305</v>
      </c>
      <c r="Y3" s="64" t="s">
        <v>326</v>
      </c>
      <c r="Z3" s="64" t="s">
        <v>331</v>
      </c>
    </row>
    <row r="4" spans="1:26">
      <c r="A4" s="22" t="s">
        <v>349</v>
      </c>
    </row>
    <row r="5" spans="1:26">
      <c r="B5" s="24" t="s">
        <v>41</v>
      </c>
      <c r="C5" s="60" t="s">
        <v>269</v>
      </c>
      <c r="D5" s="82">
        <v>1339.2973104</v>
      </c>
      <c r="E5" s="82">
        <v>1312.3681303999999</v>
      </c>
      <c r="F5" s="82">
        <v>1276.5509747999999</v>
      </c>
      <c r="G5" s="82">
        <v>1260.79537</v>
      </c>
      <c r="H5" s="82">
        <v>1211.2060704</v>
      </c>
      <c r="I5" s="82">
        <v>1151.5359840000001</v>
      </c>
      <c r="J5" s="82">
        <v>1109</v>
      </c>
      <c r="K5" s="82">
        <v>976.48507089057398</v>
      </c>
      <c r="L5" s="82">
        <v>869.41638102361605</v>
      </c>
      <c r="M5" s="82">
        <v>730.14481962088598</v>
      </c>
      <c r="N5" s="82">
        <v>735.77659387866402</v>
      </c>
      <c r="O5" s="82">
        <v>744.44936563737099</v>
      </c>
      <c r="P5" s="82">
        <v>668.09360314523406</v>
      </c>
      <c r="Q5" s="82">
        <v>627.31053813788401</v>
      </c>
      <c r="R5" s="82">
        <v>705.35268137370599</v>
      </c>
      <c r="S5" s="82">
        <v>752.02069559869096</v>
      </c>
      <c r="T5" s="82">
        <v>707.10304367172103</v>
      </c>
      <c r="U5" s="82">
        <v>682.57291743940698</v>
      </c>
      <c r="V5" s="82">
        <v>625.343170784579</v>
      </c>
      <c r="W5" s="82">
        <v>665.02625568303097</v>
      </c>
      <c r="X5" s="82">
        <v>579.13747829666102</v>
      </c>
      <c r="Y5" s="82">
        <v>479.907253438287</v>
      </c>
      <c r="Z5" s="82">
        <v>524.80110643390299</v>
      </c>
    </row>
    <row r="6" spans="1:26">
      <c r="B6" s="11" t="s">
        <v>267</v>
      </c>
      <c r="C6" s="60" t="s">
        <v>269</v>
      </c>
      <c r="D6" s="82">
        <v>3163.1436440000002</v>
      </c>
      <c r="E6" s="82">
        <v>3355.3975820000001</v>
      </c>
      <c r="F6" s="82">
        <v>3712.2137388000001</v>
      </c>
      <c r="G6" s="82">
        <v>3679.3039239999998</v>
      </c>
      <c r="H6" s="82">
        <v>3820.7130789600001</v>
      </c>
      <c r="I6" s="82">
        <v>4011.7353644999998</v>
      </c>
      <c r="J6" s="82">
        <v>4263</v>
      </c>
      <c r="K6" s="82">
        <v>4028.50932500719</v>
      </c>
      <c r="L6" s="82">
        <v>4596.4919895856201</v>
      </c>
      <c r="M6" s="82">
        <v>3826.2974231705002</v>
      </c>
      <c r="N6" s="82">
        <v>3655.9521050561798</v>
      </c>
      <c r="O6" s="82">
        <v>3848.7494604471799</v>
      </c>
      <c r="P6" s="82">
        <v>4090.3884879031302</v>
      </c>
      <c r="Q6" s="82">
        <v>4182.9894225703501</v>
      </c>
      <c r="R6" s="82">
        <v>4019.9253712919799</v>
      </c>
      <c r="S6" s="82">
        <v>4020.8431943197102</v>
      </c>
      <c r="T6" s="82">
        <v>3995.0432714907001</v>
      </c>
      <c r="U6" s="82">
        <v>3824.6101043153899</v>
      </c>
      <c r="V6" s="82">
        <v>3751.33883442873</v>
      </c>
      <c r="W6" s="82">
        <v>3863.7911690216902</v>
      </c>
      <c r="X6" s="82">
        <v>3741.74579053459</v>
      </c>
      <c r="Y6" s="82">
        <v>3528.2904387538401</v>
      </c>
      <c r="Z6" s="82">
        <v>3235.8817316630798</v>
      </c>
    </row>
    <row r="7" spans="1:26">
      <c r="B7" s="24" t="s">
        <v>87</v>
      </c>
      <c r="C7" s="60" t="s">
        <v>269</v>
      </c>
      <c r="D7" s="82">
        <v>4502.4409544</v>
      </c>
      <c r="E7" s="82">
        <v>4667.7657123999998</v>
      </c>
      <c r="F7" s="82">
        <v>4988.7647135999996</v>
      </c>
      <c r="G7" s="82">
        <v>4940.0992939999996</v>
      </c>
      <c r="H7" s="82">
        <v>5031.9191493600001</v>
      </c>
      <c r="I7" s="82">
        <v>5163.2713485000004</v>
      </c>
      <c r="J7" s="82">
        <v>5372</v>
      </c>
      <c r="K7" s="82">
        <v>5004.9943958977601</v>
      </c>
      <c r="L7" s="82">
        <v>5465.9083706092397</v>
      </c>
      <c r="M7" s="82">
        <v>4556.4422427913896</v>
      </c>
      <c r="N7" s="82">
        <v>4391.7286989348404</v>
      </c>
      <c r="O7" s="82">
        <v>4593.1988260845501</v>
      </c>
      <c r="P7" s="82">
        <v>4758.4820910483604</v>
      </c>
      <c r="Q7" s="82">
        <v>4810.2999607082302</v>
      </c>
      <c r="R7" s="82">
        <v>4725.2780526656898</v>
      </c>
      <c r="S7" s="82">
        <v>4772.8638899183998</v>
      </c>
      <c r="T7" s="82">
        <v>4702.1463151624203</v>
      </c>
      <c r="U7" s="82">
        <v>4507.1830217548004</v>
      </c>
      <c r="V7" s="82">
        <v>4376.6820052133098</v>
      </c>
      <c r="W7" s="82">
        <v>4528.81742470472</v>
      </c>
      <c r="X7" s="82">
        <v>4320.8832688312496</v>
      </c>
      <c r="Y7" s="82">
        <v>4008.19769219213</v>
      </c>
      <c r="Z7" s="82">
        <v>3760.68283809698</v>
      </c>
    </row>
    <row r="8" spans="1:26">
      <c r="A8" t="s">
        <v>2</v>
      </c>
      <c r="C8" s="61"/>
      <c r="D8" s="82"/>
      <c r="E8" s="82"/>
      <c r="F8" s="82"/>
      <c r="G8" s="82"/>
      <c r="H8" s="82"/>
      <c r="I8" s="82"/>
      <c r="J8" s="82"/>
      <c r="K8" s="82"/>
      <c r="L8" s="82"/>
      <c r="M8" s="82"/>
      <c r="N8" s="82"/>
      <c r="O8" s="82"/>
      <c r="P8" s="82"/>
      <c r="Q8" s="82"/>
      <c r="R8" s="82"/>
      <c r="S8" s="82"/>
      <c r="T8" s="82"/>
      <c r="U8" s="82"/>
      <c r="V8" s="82"/>
      <c r="W8" s="82"/>
      <c r="X8" s="82"/>
      <c r="Y8" s="153"/>
      <c r="Z8" s="153"/>
    </row>
    <row r="9" spans="1:26">
      <c r="A9" s="22" t="s">
        <v>350</v>
      </c>
      <c r="C9" s="61"/>
      <c r="D9" s="82"/>
      <c r="E9" s="82"/>
      <c r="F9" s="82"/>
      <c r="G9" s="82"/>
      <c r="H9" s="82"/>
      <c r="I9" s="82"/>
      <c r="J9" s="82"/>
      <c r="K9" s="82"/>
      <c r="L9" s="82"/>
      <c r="M9" s="82"/>
      <c r="N9" s="82"/>
      <c r="O9" s="82"/>
      <c r="P9" s="82"/>
      <c r="Q9" s="82"/>
      <c r="R9" s="82"/>
      <c r="S9" s="82"/>
      <c r="T9" s="82"/>
      <c r="U9" s="82"/>
      <c r="V9" s="82"/>
      <c r="W9" s="82"/>
      <c r="X9" s="82"/>
      <c r="Y9" s="82"/>
      <c r="Z9" s="82"/>
    </row>
    <row r="10" spans="1:26">
      <c r="B10" s="24" t="s">
        <v>90</v>
      </c>
      <c r="C10" s="60" t="s">
        <v>269</v>
      </c>
      <c r="D10" s="82">
        <v>192.23400000000001</v>
      </c>
      <c r="E10" s="82">
        <v>219.326155</v>
      </c>
      <c r="F10" s="82">
        <v>145.88031799999999</v>
      </c>
      <c r="G10" s="82">
        <v>155.98551800000001</v>
      </c>
      <c r="H10" s="82">
        <v>144.97015999999999</v>
      </c>
      <c r="I10" s="82">
        <v>129.727687</v>
      </c>
      <c r="J10" s="82">
        <v>133.56223499999999</v>
      </c>
      <c r="K10" s="82">
        <v>118.08497199999999</v>
      </c>
      <c r="L10" s="82">
        <v>120.33975100000001</v>
      </c>
      <c r="M10" s="82">
        <v>140.46300719999999</v>
      </c>
      <c r="N10" s="82">
        <v>160.12565839999999</v>
      </c>
      <c r="O10" s="82">
        <v>128.34327999999999</v>
      </c>
      <c r="P10" s="82">
        <v>145.2275272</v>
      </c>
      <c r="Q10" s="82">
        <v>158.50305</v>
      </c>
      <c r="R10" s="82">
        <v>170.66783000000001</v>
      </c>
      <c r="S10" s="82">
        <v>150.56912</v>
      </c>
      <c r="T10" s="82">
        <v>156.10005000000001</v>
      </c>
      <c r="U10" s="82">
        <v>182.11099999999999</v>
      </c>
      <c r="V10" s="82">
        <v>175.97900000000001</v>
      </c>
      <c r="W10" s="82" t="s">
        <v>211</v>
      </c>
      <c r="X10" s="82">
        <v>191.17396148718697</v>
      </c>
      <c r="Y10" s="82" t="s">
        <v>211</v>
      </c>
      <c r="Z10" s="82" t="s">
        <v>211</v>
      </c>
    </row>
    <row r="11" spans="1:26">
      <c r="B11" s="24" t="s">
        <v>91</v>
      </c>
      <c r="C11" s="60" t="s">
        <v>269</v>
      </c>
      <c r="D11" s="82">
        <v>965.08600000000001</v>
      </c>
      <c r="E11" s="82">
        <v>1024.7280000000001</v>
      </c>
      <c r="F11" s="82">
        <v>1047.973</v>
      </c>
      <c r="G11" s="82">
        <v>943.76199999999994</v>
      </c>
      <c r="H11" s="82">
        <v>1001.7190000000001</v>
      </c>
      <c r="I11" s="82">
        <v>933.04399999999998</v>
      </c>
      <c r="J11" s="82">
        <v>956.96299999999997</v>
      </c>
      <c r="K11" s="82">
        <v>910.85934999999995</v>
      </c>
      <c r="L11" s="82">
        <v>927.65300000000002</v>
      </c>
      <c r="M11" s="82">
        <v>986.28800000000001</v>
      </c>
      <c r="N11" s="82">
        <v>866.02300000000002</v>
      </c>
      <c r="O11" s="82">
        <v>836.93200000000002</v>
      </c>
      <c r="P11" s="82">
        <v>854.75400000000002</v>
      </c>
      <c r="Q11" s="82">
        <v>902.57600000000002</v>
      </c>
      <c r="R11" s="82">
        <v>954.85500000000002</v>
      </c>
      <c r="S11" s="82">
        <v>967.67499999999995</v>
      </c>
      <c r="T11" s="82" t="s">
        <v>211</v>
      </c>
      <c r="U11" s="82" t="s">
        <v>211</v>
      </c>
      <c r="V11" s="82" t="s">
        <v>211</v>
      </c>
      <c r="W11" s="82" t="s">
        <v>211</v>
      </c>
      <c r="X11" s="82">
        <v>1147.8181667396518</v>
      </c>
      <c r="Y11" s="82" t="s">
        <v>211</v>
      </c>
      <c r="Z11" s="82" t="s">
        <v>211</v>
      </c>
    </row>
    <row r="12" spans="1:26">
      <c r="B12" s="24" t="s">
        <v>92</v>
      </c>
      <c r="C12" s="60" t="s">
        <v>269</v>
      </c>
      <c r="D12" s="82">
        <v>732.30799999999999</v>
      </c>
      <c r="E12" s="82">
        <v>786.23400000000004</v>
      </c>
      <c r="F12" s="82">
        <v>794.86900000000003</v>
      </c>
      <c r="G12" s="82">
        <v>794.23199999999997</v>
      </c>
      <c r="H12" s="82">
        <v>797.80700000000002</v>
      </c>
      <c r="I12" s="82">
        <v>680.22400000000005</v>
      </c>
      <c r="J12" s="82">
        <v>709.798</v>
      </c>
      <c r="K12" s="82">
        <v>632.04</v>
      </c>
      <c r="L12" s="82">
        <v>558.14300000000003</v>
      </c>
      <c r="M12" s="82">
        <v>604.55399999999997</v>
      </c>
      <c r="N12" s="82">
        <v>465.78300000000002</v>
      </c>
      <c r="O12" s="82">
        <v>459.79899999999998</v>
      </c>
      <c r="P12" s="82">
        <v>475.09500000000003</v>
      </c>
      <c r="Q12" s="82">
        <v>523.19399999999996</v>
      </c>
      <c r="R12" s="82">
        <v>573.55799999999999</v>
      </c>
      <c r="S12" s="82">
        <v>593.33299999999997</v>
      </c>
      <c r="T12" s="82" t="s">
        <v>211</v>
      </c>
      <c r="U12" s="82" t="s">
        <v>211</v>
      </c>
      <c r="V12" s="82" t="s">
        <v>211</v>
      </c>
      <c r="W12" s="82" t="s">
        <v>211</v>
      </c>
      <c r="X12" s="82">
        <v>665.00787177316124</v>
      </c>
      <c r="Y12" s="82" t="s">
        <v>211</v>
      </c>
      <c r="Z12" s="82" t="s">
        <v>211</v>
      </c>
    </row>
    <row r="13" spans="1:26">
      <c r="B13" s="24" t="s">
        <v>87</v>
      </c>
      <c r="C13" s="60" t="s">
        <v>269</v>
      </c>
      <c r="D13" s="82">
        <v>1889.6279999999999</v>
      </c>
      <c r="E13" s="82">
        <v>2030.2881550000002</v>
      </c>
      <c r="F13" s="82">
        <v>1988.7223180000001</v>
      </c>
      <c r="G13" s="82">
        <v>1893.9795179999999</v>
      </c>
      <c r="H13" s="82">
        <v>1944.4961600000001</v>
      </c>
      <c r="I13" s="82">
        <v>1742.9956870000001</v>
      </c>
      <c r="J13" s="82">
        <v>1800.3232350000001</v>
      </c>
      <c r="K13" s="82">
        <v>1660.9843219999998</v>
      </c>
      <c r="L13" s="82">
        <v>1606.135751</v>
      </c>
      <c r="M13" s="82">
        <v>1731.3050072000001</v>
      </c>
      <c r="N13" s="82">
        <v>1491.9316583999998</v>
      </c>
      <c r="O13" s="82">
        <v>1425.07428</v>
      </c>
      <c r="P13" s="82">
        <v>1475.0765272000001</v>
      </c>
      <c r="Q13" s="82">
        <v>1584.27305</v>
      </c>
      <c r="R13" s="82">
        <v>1699.0808300000001</v>
      </c>
      <c r="S13" s="82">
        <v>1711.5771199999999</v>
      </c>
      <c r="T13" s="82" t="s">
        <v>211</v>
      </c>
      <c r="U13" s="82" t="s">
        <v>211</v>
      </c>
      <c r="V13" s="82" t="s">
        <v>211</v>
      </c>
      <c r="W13" s="82" t="s">
        <v>211</v>
      </c>
      <c r="X13" s="82">
        <v>2004</v>
      </c>
      <c r="Y13" s="82" t="s">
        <v>211</v>
      </c>
      <c r="Z13" s="82" t="s">
        <v>211</v>
      </c>
    </row>
    <row r="14" spans="1:26">
      <c r="A14" t="s">
        <v>2</v>
      </c>
      <c r="C14" s="61"/>
      <c r="D14" s="82"/>
      <c r="E14" s="82"/>
      <c r="F14" s="82"/>
      <c r="G14" s="82"/>
      <c r="H14" s="82"/>
      <c r="I14" s="82"/>
      <c r="J14" s="82"/>
      <c r="K14" s="82"/>
      <c r="L14" s="82"/>
      <c r="M14" s="82"/>
      <c r="N14" s="82"/>
      <c r="O14" s="82"/>
      <c r="P14" s="82"/>
      <c r="Q14" s="82"/>
      <c r="R14" s="82"/>
      <c r="S14" s="82"/>
      <c r="T14" s="82"/>
      <c r="U14" s="82"/>
      <c r="V14" s="82"/>
      <c r="W14" s="82"/>
      <c r="X14" s="82"/>
      <c r="Y14" s="82"/>
      <c r="Z14" s="82"/>
    </row>
    <row r="15" spans="1:26">
      <c r="A15" s="23" t="s">
        <v>51</v>
      </c>
      <c r="C15" s="61"/>
      <c r="D15" s="82"/>
      <c r="E15" s="82"/>
      <c r="F15" s="82"/>
      <c r="G15" s="82"/>
      <c r="H15" s="82"/>
      <c r="I15" s="82"/>
      <c r="J15" s="82"/>
      <c r="K15" s="82"/>
      <c r="L15" s="82"/>
      <c r="M15" s="82"/>
      <c r="N15" s="82"/>
      <c r="O15" s="82"/>
      <c r="P15" s="82"/>
      <c r="Q15" s="82"/>
      <c r="R15" s="82"/>
      <c r="S15" s="82"/>
      <c r="T15" s="82"/>
      <c r="U15" s="82"/>
      <c r="V15" s="82"/>
      <c r="W15" s="82"/>
      <c r="X15" s="82"/>
      <c r="Y15" s="82"/>
      <c r="Z15" s="82"/>
    </row>
    <row r="16" spans="1:26">
      <c r="B16" s="24" t="s">
        <v>93</v>
      </c>
      <c r="C16" s="60" t="s">
        <v>52</v>
      </c>
      <c r="D16" s="82">
        <v>395</v>
      </c>
      <c r="E16" s="82">
        <v>412</v>
      </c>
      <c r="F16" s="82">
        <v>422</v>
      </c>
      <c r="G16" s="82">
        <v>443</v>
      </c>
      <c r="H16" s="82">
        <v>415</v>
      </c>
      <c r="I16" s="82">
        <v>411</v>
      </c>
      <c r="J16" s="82">
        <v>456</v>
      </c>
      <c r="K16" s="82">
        <v>444</v>
      </c>
      <c r="L16" s="82">
        <v>427</v>
      </c>
      <c r="M16" s="82">
        <v>439</v>
      </c>
      <c r="N16" s="82">
        <v>435</v>
      </c>
      <c r="O16" s="82">
        <v>405</v>
      </c>
      <c r="P16" s="82">
        <v>365</v>
      </c>
      <c r="Q16" s="82">
        <v>325</v>
      </c>
      <c r="R16" s="82">
        <v>319</v>
      </c>
      <c r="S16" s="82">
        <v>327</v>
      </c>
      <c r="T16" s="82">
        <v>318</v>
      </c>
      <c r="U16" s="82">
        <v>296</v>
      </c>
      <c r="V16" s="82">
        <v>190.49979999999999</v>
      </c>
      <c r="W16" s="82">
        <v>89.301289999999995</v>
      </c>
      <c r="X16" s="82">
        <v>100.517</v>
      </c>
      <c r="Y16" s="82">
        <v>107</v>
      </c>
      <c r="Z16" s="82">
        <v>117</v>
      </c>
    </row>
    <row r="17" spans="1:26">
      <c r="B17" s="24" t="s">
        <v>94</v>
      </c>
      <c r="C17" s="60" t="s">
        <v>52</v>
      </c>
      <c r="D17" s="82">
        <v>624</v>
      </c>
      <c r="E17" s="82">
        <v>564</v>
      </c>
      <c r="F17" s="82">
        <v>585</v>
      </c>
      <c r="G17" s="82">
        <v>659</v>
      </c>
      <c r="H17" s="82">
        <v>663</v>
      </c>
      <c r="I17" s="82">
        <v>693</v>
      </c>
      <c r="J17" s="82">
        <v>706</v>
      </c>
      <c r="K17" s="82">
        <v>723</v>
      </c>
      <c r="L17" s="82">
        <v>334</v>
      </c>
      <c r="M17" s="82">
        <v>342</v>
      </c>
      <c r="N17" s="82">
        <v>358</v>
      </c>
      <c r="O17" s="82">
        <v>369</v>
      </c>
      <c r="P17" s="82">
        <v>392</v>
      </c>
      <c r="Q17" s="82">
        <v>470</v>
      </c>
      <c r="R17" s="82">
        <v>513</v>
      </c>
      <c r="S17" s="82">
        <v>482</v>
      </c>
      <c r="T17" s="82">
        <v>456.36346800000001</v>
      </c>
      <c r="U17" s="82">
        <v>451.83523000000002</v>
      </c>
      <c r="V17" s="82">
        <v>402.76420000000002</v>
      </c>
      <c r="W17" s="82">
        <v>366.31941</v>
      </c>
      <c r="X17" s="82">
        <v>399.40108500000002</v>
      </c>
      <c r="Y17" s="82">
        <v>230</v>
      </c>
      <c r="Z17" s="82">
        <v>139</v>
      </c>
    </row>
    <row r="18" spans="1:26">
      <c r="B18" s="24" t="s">
        <v>95</v>
      </c>
      <c r="C18" s="60" t="s">
        <v>52</v>
      </c>
      <c r="D18" s="82">
        <v>198</v>
      </c>
      <c r="E18" s="82">
        <v>194</v>
      </c>
      <c r="F18" s="82">
        <v>200</v>
      </c>
      <c r="G18" s="82">
        <v>197</v>
      </c>
      <c r="H18" s="82">
        <v>203</v>
      </c>
      <c r="I18" s="82">
        <v>190</v>
      </c>
      <c r="J18" s="82">
        <v>183</v>
      </c>
      <c r="K18" s="82">
        <v>193</v>
      </c>
      <c r="L18" s="82">
        <v>194.33199999999999</v>
      </c>
      <c r="M18" s="82">
        <v>182.89699999999999</v>
      </c>
      <c r="N18" s="82">
        <v>166.1</v>
      </c>
      <c r="O18" s="82">
        <v>188</v>
      </c>
      <c r="P18" s="82">
        <v>204</v>
      </c>
      <c r="Q18" s="82">
        <v>201</v>
      </c>
      <c r="R18" s="82">
        <v>215</v>
      </c>
      <c r="S18" s="82">
        <v>232</v>
      </c>
      <c r="T18" s="82">
        <v>244</v>
      </c>
      <c r="U18" s="82">
        <v>242.96600000000001</v>
      </c>
      <c r="V18" s="82">
        <v>246.9</v>
      </c>
      <c r="W18" s="82">
        <v>260.5</v>
      </c>
      <c r="X18" s="82">
        <v>267.39999999999998</v>
      </c>
      <c r="Y18" s="82">
        <v>264</v>
      </c>
      <c r="Z18" s="82">
        <v>70</v>
      </c>
    </row>
    <row r="19" spans="1:26">
      <c r="B19" s="24" t="s">
        <v>96</v>
      </c>
      <c r="C19" s="60" t="s">
        <v>52</v>
      </c>
      <c r="D19" s="82">
        <v>1679</v>
      </c>
      <c r="E19" s="82">
        <v>1892</v>
      </c>
      <c r="F19" s="82">
        <v>1956</v>
      </c>
      <c r="G19" s="82">
        <v>1945</v>
      </c>
      <c r="H19" s="82">
        <v>1926</v>
      </c>
      <c r="I19" s="82">
        <v>1907</v>
      </c>
      <c r="J19" s="82">
        <v>1933</v>
      </c>
      <c r="K19" s="82">
        <v>1915</v>
      </c>
      <c r="L19" s="82">
        <v>2058</v>
      </c>
      <c r="M19" s="82">
        <v>2191</v>
      </c>
      <c r="N19" s="82">
        <v>2232</v>
      </c>
      <c r="O19" s="82">
        <v>2054</v>
      </c>
      <c r="P19" s="82">
        <v>2076</v>
      </c>
      <c r="Q19" s="82">
        <v>2146</v>
      </c>
      <c r="R19" s="82">
        <v>2177</v>
      </c>
      <c r="S19" s="82">
        <v>2194</v>
      </c>
      <c r="T19" s="82">
        <v>2206.7437789999999</v>
      </c>
      <c r="U19" s="82">
        <v>2221.8976809999999</v>
      </c>
      <c r="V19" s="82">
        <v>2216</v>
      </c>
      <c r="W19" s="82">
        <v>2235</v>
      </c>
      <c r="X19" s="82">
        <v>2248.3685209999999</v>
      </c>
      <c r="Y19" s="82">
        <v>2266</v>
      </c>
      <c r="Z19" s="82">
        <v>2255</v>
      </c>
    </row>
    <row r="20" spans="1:26">
      <c r="A20" s="25"/>
      <c r="B20" s="26" t="s">
        <v>43</v>
      </c>
      <c r="C20" s="62" t="s">
        <v>52</v>
      </c>
      <c r="D20" s="82">
        <v>2897</v>
      </c>
      <c r="E20" s="82">
        <v>3061</v>
      </c>
      <c r="F20" s="82">
        <v>3164</v>
      </c>
      <c r="G20" s="82">
        <v>3244</v>
      </c>
      <c r="H20" s="82">
        <v>3207</v>
      </c>
      <c r="I20" s="82">
        <v>3201</v>
      </c>
      <c r="J20" s="82">
        <v>3278</v>
      </c>
      <c r="K20" s="82">
        <v>3275</v>
      </c>
      <c r="L20" s="82">
        <v>3013.3319999999999</v>
      </c>
      <c r="M20" s="82">
        <v>3154.8969999999999</v>
      </c>
      <c r="N20" s="82">
        <v>3191.1</v>
      </c>
      <c r="O20" s="82">
        <v>3016</v>
      </c>
      <c r="P20" s="82">
        <v>3037</v>
      </c>
      <c r="Q20" s="82">
        <v>3142</v>
      </c>
      <c r="R20" s="82">
        <v>3224</v>
      </c>
      <c r="S20" s="82">
        <v>3235</v>
      </c>
      <c r="T20" s="82">
        <v>3225.1072469999999</v>
      </c>
      <c r="U20" s="82">
        <v>3212.698911</v>
      </c>
      <c r="V20" s="82">
        <v>3056.1640000000002</v>
      </c>
      <c r="W20" s="82">
        <v>2951.1206999999999</v>
      </c>
      <c r="X20" s="91">
        <v>3015.6866060000002</v>
      </c>
      <c r="Y20" s="91">
        <v>2867</v>
      </c>
      <c r="Z20" s="91">
        <v>2581</v>
      </c>
    </row>
    <row r="21" spans="1:26" ht="46.5" customHeight="1">
      <c r="D21" s="167" t="s">
        <v>414</v>
      </c>
      <c r="E21" s="167"/>
      <c r="F21" s="167"/>
      <c r="G21" s="167"/>
      <c r="H21" s="167"/>
      <c r="I21" s="167"/>
      <c r="J21" s="167"/>
      <c r="K21" s="167"/>
      <c r="L21" s="167"/>
      <c r="M21" s="167"/>
      <c r="N21" s="167"/>
      <c r="O21" s="167"/>
      <c r="P21" s="167"/>
      <c r="Q21" s="167"/>
      <c r="R21" s="167"/>
      <c r="S21" s="167"/>
      <c r="T21" s="167"/>
      <c r="U21" s="167"/>
      <c r="V21" s="167"/>
      <c r="W21" s="167"/>
      <c r="X21" s="167"/>
      <c r="Y21" s="167"/>
      <c r="Z21" s="167"/>
    </row>
    <row r="22" spans="1:26">
      <c r="A22" t="s">
        <v>2</v>
      </c>
      <c r="F22" s="34"/>
      <c r="G22" s="34"/>
      <c r="H22" s="34"/>
      <c r="I22" s="34"/>
      <c r="J22" s="34"/>
      <c r="K22" s="34"/>
      <c r="L22" s="34"/>
      <c r="M22" s="34"/>
      <c r="N22" s="34"/>
      <c r="O22" s="34"/>
      <c r="P22" s="34"/>
      <c r="Q22" s="34"/>
      <c r="R22" s="34"/>
      <c r="S22" s="34"/>
      <c r="T22" s="34"/>
      <c r="U22" s="34"/>
    </row>
    <row r="23" spans="1:26">
      <c r="A23" t="s">
        <v>2</v>
      </c>
      <c r="F23" s="34"/>
      <c r="G23" s="34"/>
      <c r="H23" s="34"/>
      <c r="I23" s="34"/>
      <c r="J23" s="34"/>
      <c r="K23" s="34"/>
      <c r="L23" s="34"/>
      <c r="M23" s="34"/>
      <c r="N23" s="34"/>
      <c r="O23" s="34"/>
      <c r="P23" s="34"/>
      <c r="Q23" s="34"/>
      <c r="R23" s="34"/>
      <c r="S23" s="34"/>
      <c r="T23" s="34"/>
      <c r="U23" s="34"/>
    </row>
    <row r="24" spans="1:26">
      <c r="A24" t="s">
        <v>2</v>
      </c>
      <c r="F24" s="34"/>
      <c r="G24" s="34"/>
      <c r="H24" s="34"/>
      <c r="I24" s="34"/>
      <c r="J24" s="34"/>
      <c r="K24" s="34"/>
      <c r="L24" s="34"/>
      <c r="M24" s="34"/>
      <c r="N24" s="34"/>
      <c r="O24" s="34"/>
      <c r="P24" s="34"/>
      <c r="Q24" s="34"/>
      <c r="R24" s="34"/>
      <c r="S24" s="34"/>
      <c r="T24" s="34"/>
      <c r="U24" s="34"/>
    </row>
    <row r="25" spans="1:26">
      <c r="A25" t="s">
        <v>2</v>
      </c>
      <c r="F25" s="34"/>
      <c r="G25" s="34"/>
      <c r="H25" s="34"/>
      <c r="I25" s="34"/>
      <c r="J25" s="34"/>
      <c r="K25" s="34"/>
      <c r="L25" s="34"/>
      <c r="M25" s="34"/>
      <c r="N25" s="34"/>
      <c r="O25" s="34"/>
      <c r="P25" s="34"/>
      <c r="Q25" s="34"/>
      <c r="R25" s="34"/>
      <c r="S25" s="34"/>
      <c r="T25" s="34"/>
      <c r="U25" s="34"/>
    </row>
    <row r="26" spans="1:26">
      <c r="A26" t="s">
        <v>2</v>
      </c>
      <c r="F26" s="34"/>
      <c r="G26" s="34"/>
      <c r="H26" s="34"/>
      <c r="I26" s="34"/>
      <c r="J26" s="34"/>
      <c r="K26" s="34"/>
      <c r="L26" s="34"/>
      <c r="M26" s="34"/>
      <c r="N26" s="34"/>
      <c r="O26" s="34"/>
      <c r="P26" s="34"/>
      <c r="Q26" s="34"/>
      <c r="R26" s="34"/>
      <c r="S26" s="34"/>
      <c r="T26" s="34"/>
      <c r="U26" s="34"/>
    </row>
    <row r="27" spans="1:26">
      <c r="A27" t="s">
        <v>2</v>
      </c>
      <c r="F27" s="34"/>
      <c r="G27" s="34"/>
      <c r="H27" s="34"/>
      <c r="I27" s="34"/>
      <c r="J27" s="34"/>
      <c r="K27" s="34"/>
      <c r="L27" s="34"/>
      <c r="M27" s="34"/>
      <c r="N27" s="34"/>
      <c r="O27" s="34"/>
      <c r="P27" s="34"/>
      <c r="Q27" s="34"/>
      <c r="R27" s="34"/>
      <c r="S27" s="34"/>
      <c r="T27" s="34"/>
      <c r="U27" s="34"/>
    </row>
    <row r="28" spans="1:26">
      <c r="A28" t="s">
        <v>2</v>
      </c>
    </row>
    <row r="29" spans="1:26">
      <c r="A29" t="s">
        <v>2</v>
      </c>
    </row>
    <row r="30" spans="1:26">
      <c r="A30" t="s">
        <v>2</v>
      </c>
    </row>
  </sheetData>
  <mergeCells count="2">
    <mergeCell ref="A2:X2"/>
    <mergeCell ref="D21:Z21"/>
  </mergeCells>
  <phoneticPr fontId="14" type="noConversion"/>
  <conditionalFormatting sqref="D5:Z20">
    <cfRule type="cellIs" dxfId="48" priority="1"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401C3-4194-42BF-9531-737ED5DEA206}">
  <dimension ref="A1:Z34"/>
  <sheetViews>
    <sheetView zoomScaleNormal="100" workbookViewId="0">
      <selection activeCell="AF8" sqref="AF8"/>
    </sheetView>
  </sheetViews>
  <sheetFormatPr defaultColWidth="9.26953125" defaultRowHeight="14.5"/>
  <cols>
    <col min="1" max="1" width="3" customWidth="1"/>
    <col min="2" max="2" width="17.7265625" customWidth="1"/>
    <col min="3" max="23" width="7.26953125" bestFit="1" customWidth="1"/>
    <col min="24" max="26" width="7.1796875" customWidth="1"/>
  </cols>
  <sheetData>
    <row r="1" spans="1:26" ht="71.25" customHeight="1">
      <c r="A1" t="s">
        <v>2</v>
      </c>
    </row>
    <row r="2" spans="1:26" ht="21">
      <c r="A2" s="162" t="s">
        <v>265</v>
      </c>
      <c r="B2" s="162"/>
      <c r="C2" s="162"/>
      <c r="D2" s="162"/>
      <c r="E2" s="162"/>
      <c r="F2" s="162"/>
      <c r="G2" s="162"/>
      <c r="H2" s="162"/>
      <c r="I2" s="162"/>
      <c r="J2" s="162"/>
      <c r="K2" s="162"/>
      <c r="L2" s="162"/>
      <c r="M2" s="162"/>
      <c r="N2" s="162"/>
      <c r="O2" s="162"/>
      <c r="P2" s="162"/>
      <c r="Q2" s="162"/>
      <c r="R2" s="162"/>
      <c r="S2" s="162"/>
      <c r="T2" s="162"/>
      <c r="U2" s="162"/>
      <c r="V2" s="162"/>
      <c r="W2" s="162"/>
      <c r="X2" s="162"/>
    </row>
    <row r="3" spans="1:26" s="21" customFormat="1" ht="12">
      <c r="A3" s="64" t="s">
        <v>38</v>
      </c>
      <c r="B3" s="64" t="s">
        <v>38</v>
      </c>
      <c r="C3" s="66" t="s">
        <v>37</v>
      </c>
      <c r="D3" s="64" t="s">
        <v>296</v>
      </c>
      <c r="E3" s="64" t="s">
        <v>297</v>
      </c>
      <c r="F3" s="64" t="s">
        <v>298</v>
      </c>
      <c r="G3" s="64" t="s">
        <v>299</v>
      </c>
      <c r="H3" s="64" t="s">
        <v>300</v>
      </c>
      <c r="I3" s="64" t="s">
        <v>281</v>
      </c>
      <c r="J3" s="64" t="s">
        <v>282</v>
      </c>
      <c r="K3" s="64" t="s">
        <v>283</v>
      </c>
      <c r="L3" s="64" t="s">
        <v>284</v>
      </c>
      <c r="M3" s="64" t="s">
        <v>285</v>
      </c>
      <c r="N3" s="64" t="s">
        <v>286</v>
      </c>
      <c r="O3" s="64" t="s">
        <v>287</v>
      </c>
      <c r="P3" s="64" t="s">
        <v>288</v>
      </c>
      <c r="Q3" s="64" t="s">
        <v>289</v>
      </c>
      <c r="R3" s="64" t="s">
        <v>290</v>
      </c>
      <c r="S3" s="64" t="s">
        <v>291</v>
      </c>
      <c r="T3" s="64" t="s">
        <v>292</v>
      </c>
      <c r="U3" s="64" t="s">
        <v>293</v>
      </c>
      <c r="V3" s="64" t="s">
        <v>294</v>
      </c>
      <c r="W3" s="64" t="s">
        <v>295</v>
      </c>
      <c r="X3" s="64" t="s">
        <v>305</v>
      </c>
      <c r="Y3" s="64" t="s">
        <v>313</v>
      </c>
      <c r="Z3" s="64" t="s">
        <v>328</v>
      </c>
    </row>
    <row r="4" spans="1:26">
      <c r="A4" s="23" t="s">
        <v>61</v>
      </c>
    </row>
    <row r="5" spans="1:26">
      <c r="B5" s="11" t="s">
        <v>266</v>
      </c>
      <c r="C5" s="58" t="s">
        <v>269</v>
      </c>
      <c r="D5" s="82">
        <v>484.57998800000001</v>
      </c>
      <c r="E5" s="82">
        <v>512.98756000000003</v>
      </c>
      <c r="F5" s="82">
        <v>548.14983600000005</v>
      </c>
      <c r="G5" s="82">
        <v>522.57154400000002</v>
      </c>
      <c r="H5" s="82">
        <v>515.27309600000001</v>
      </c>
      <c r="I5" s="82">
        <v>446.77241299999997</v>
      </c>
      <c r="J5" s="82">
        <v>433.6</v>
      </c>
      <c r="K5" s="82">
        <v>405.26222915086402</v>
      </c>
      <c r="L5" s="82">
        <v>359.78141058560902</v>
      </c>
      <c r="M5" s="82">
        <v>247.784979889239</v>
      </c>
      <c r="N5" s="82">
        <v>286.08633650190097</v>
      </c>
      <c r="O5" s="82">
        <v>275.85569088525</v>
      </c>
      <c r="P5" s="99">
        <v>241.615293258972</v>
      </c>
      <c r="Q5" s="99">
        <v>225.85620483823499</v>
      </c>
      <c r="R5" s="99">
        <v>233.67944159186101</v>
      </c>
      <c r="S5" s="99">
        <v>266.46675013538197</v>
      </c>
      <c r="T5" s="99">
        <v>284.89643954818899</v>
      </c>
      <c r="U5" s="99">
        <v>282.278970545189</v>
      </c>
      <c r="V5" s="99">
        <v>232.45700667215601</v>
      </c>
      <c r="W5" s="99">
        <v>180.08701888931799</v>
      </c>
      <c r="X5" s="99">
        <v>208.51520521022701</v>
      </c>
      <c r="Y5" s="99">
        <v>195.65055748866399</v>
      </c>
      <c r="Z5" s="99">
        <v>202.75402131605034</v>
      </c>
    </row>
    <row r="6" spans="1:26">
      <c r="B6" s="24" t="s">
        <v>63</v>
      </c>
      <c r="C6" s="58" t="s">
        <v>269</v>
      </c>
      <c r="D6" s="82">
        <v>382.70594640000002</v>
      </c>
      <c r="E6" s="82">
        <v>347.9968136</v>
      </c>
      <c r="F6" s="82">
        <v>303.37357639999999</v>
      </c>
      <c r="G6" s="82">
        <v>338.61556839999997</v>
      </c>
      <c r="H6" s="82">
        <v>299.52930800000001</v>
      </c>
      <c r="I6" s="82">
        <v>284.17876419999999</v>
      </c>
      <c r="J6" s="82">
        <v>254.9</v>
      </c>
      <c r="K6" s="82">
        <v>224.51382265147399</v>
      </c>
      <c r="L6" s="82">
        <v>213.00195273767599</v>
      </c>
      <c r="M6" s="82">
        <v>186.31023680000001</v>
      </c>
      <c r="N6" s="82">
        <v>195.539991197126</v>
      </c>
      <c r="O6" s="82">
        <v>243.82883200000001</v>
      </c>
      <c r="P6" s="99">
        <v>209.56013317650201</v>
      </c>
      <c r="Q6" s="99">
        <v>196.077831384294</v>
      </c>
      <c r="R6" s="99">
        <v>216.79154969174999</v>
      </c>
      <c r="S6" s="99">
        <v>215.83783269764899</v>
      </c>
      <c r="T6" s="99">
        <v>187.91537174448399</v>
      </c>
      <c r="U6" s="99">
        <v>176.21368178294199</v>
      </c>
      <c r="V6" s="99">
        <v>157.545841779634</v>
      </c>
      <c r="W6" s="99">
        <v>171.81234868282101</v>
      </c>
      <c r="X6" s="99">
        <v>151.45097848169399</v>
      </c>
      <c r="Y6" s="99">
        <v>48.337742448585402</v>
      </c>
      <c r="Z6" s="99">
        <v>50.092735684426053</v>
      </c>
    </row>
    <row r="7" spans="1:26">
      <c r="B7" s="24" t="s">
        <v>64</v>
      </c>
      <c r="C7" s="58" t="s">
        <v>269</v>
      </c>
      <c r="D7" s="82">
        <v>153.16763080000001</v>
      </c>
      <c r="E7" s="82">
        <v>167.410878</v>
      </c>
      <c r="F7" s="82">
        <v>128.9855144</v>
      </c>
      <c r="G7" s="82">
        <v>123.36484040000001</v>
      </c>
      <c r="H7" s="82">
        <v>138.3903124</v>
      </c>
      <c r="I7" s="82">
        <v>161.91494069999999</v>
      </c>
      <c r="J7" s="82">
        <v>162.9</v>
      </c>
      <c r="K7" s="82">
        <v>131.915420075111</v>
      </c>
      <c r="L7" s="82">
        <v>104.803550090844</v>
      </c>
      <c r="M7" s="82">
        <v>111.385182042914</v>
      </c>
      <c r="N7" s="82">
        <v>106.785513159524</v>
      </c>
      <c r="O7" s="82">
        <v>89.503316999999996</v>
      </c>
      <c r="P7" s="99">
        <v>87.263820041817795</v>
      </c>
      <c r="Q7" s="99">
        <v>78.101849603042496</v>
      </c>
      <c r="R7" s="99">
        <v>94.727991971764098</v>
      </c>
      <c r="S7" s="99">
        <v>103.140595312785</v>
      </c>
      <c r="T7" s="99">
        <v>102.290581096937</v>
      </c>
      <c r="U7" s="99">
        <v>110.497071449255</v>
      </c>
      <c r="V7" s="99">
        <v>106.371797422846</v>
      </c>
      <c r="W7" s="99">
        <v>109.692925025641</v>
      </c>
      <c r="X7" s="99">
        <v>109.957308758005</v>
      </c>
      <c r="Y7" s="99">
        <v>104.727401781135</v>
      </c>
      <c r="Z7" s="99">
        <v>108.52972833638486</v>
      </c>
    </row>
    <row r="8" spans="1:26">
      <c r="B8" s="24" t="s">
        <v>65</v>
      </c>
      <c r="C8" s="58" t="s">
        <v>269</v>
      </c>
      <c r="D8" s="82">
        <v>0</v>
      </c>
      <c r="E8" s="82">
        <v>0</v>
      </c>
      <c r="F8" s="82">
        <v>0</v>
      </c>
      <c r="G8" s="82">
        <v>0</v>
      </c>
      <c r="H8" s="82">
        <v>0</v>
      </c>
      <c r="I8" s="82">
        <v>0</v>
      </c>
      <c r="J8" s="82">
        <v>0</v>
      </c>
      <c r="K8" s="82">
        <v>0</v>
      </c>
      <c r="L8" s="82">
        <v>0</v>
      </c>
      <c r="M8" s="82">
        <v>0</v>
      </c>
      <c r="N8" s="82">
        <v>0</v>
      </c>
      <c r="O8" s="82">
        <v>0</v>
      </c>
      <c r="P8" s="99">
        <v>0</v>
      </c>
      <c r="Q8" s="99">
        <v>0</v>
      </c>
      <c r="R8" s="99">
        <v>0</v>
      </c>
      <c r="S8" s="99">
        <v>0</v>
      </c>
      <c r="T8" s="99">
        <v>0</v>
      </c>
      <c r="U8" s="99">
        <v>0</v>
      </c>
      <c r="V8" s="99">
        <v>0</v>
      </c>
      <c r="W8" s="99">
        <v>0</v>
      </c>
      <c r="X8" s="99">
        <v>0</v>
      </c>
      <c r="Y8" s="99">
        <v>0</v>
      </c>
      <c r="Z8" s="99">
        <v>0</v>
      </c>
    </row>
    <row r="9" spans="1:26">
      <c r="B9" s="24" t="s">
        <v>66</v>
      </c>
      <c r="C9" s="58" t="s">
        <v>269</v>
      </c>
      <c r="D9" s="82">
        <v>145.3750392</v>
      </c>
      <c r="E9" s="82">
        <v>107.9336076</v>
      </c>
      <c r="F9" s="82">
        <v>99.880133200000003</v>
      </c>
      <c r="G9" s="82">
        <v>89.241510399999996</v>
      </c>
      <c r="H9" s="82">
        <v>91.988896800000006</v>
      </c>
      <c r="I9" s="82">
        <v>80.570645200000001</v>
      </c>
      <c r="J9" s="82">
        <v>99.2</v>
      </c>
      <c r="K9" s="82">
        <v>84.869134060416599</v>
      </c>
      <c r="L9" s="82">
        <v>81.9923749594697</v>
      </c>
      <c r="M9" s="82">
        <v>71.684367819533307</v>
      </c>
      <c r="N9" s="82">
        <v>76.488604031157195</v>
      </c>
      <c r="O9" s="82">
        <v>61.176352199999997</v>
      </c>
      <c r="P9" s="99">
        <v>54.485327386162602</v>
      </c>
      <c r="Q9" s="99">
        <v>63.614873004517598</v>
      </c>
      <c r="R9" s="99">
        <v>68.589408127488497</v>
      </c>
      <c r="S9" s="99">
        <v>81.699426609519605</v>
      </c>
      <c r="T9" s="99">
        <v>53.846860563867899</v>
      </c>
      <c r="U9" s="99">
        <v>55.4447243496477</v>
      </c>
      <c r="V9" s="99">
        <v>59.047770281762197</v>
      </c>
      <c r="W9" s="99">
        <v>64.932402352956501</v>
      </c>
      <c r="X9" s="99">
        <v>52.619416412068901</v>
      </c>
      <c r="Y9" s="99">
        <v>37.863314440475001</v>
      </c>
      <c r="Z9" s="99">
        <v>39.238013740927897</v>
      </c>
    </row>
    <row r="10" spans="1:26">
      <c r="B10" s="24" t="s">
        <v>67</v>
      </c>
      <c r="C10" s="58" t="s">
        <v>269</v>
      </c>
      <c r="D10" s="82">
        <v>173.468706</v>
      </c>
      <c r="E10" s="82">
        <v>176.0392712</v>
      </c>
      <c r="F10" s="82">
        <v>196.16191480000001</v>
      </c>
      <c r="G10" s="82">
        <v>187.0019068</v>
      </c>
      <c r="H10" s="82">
        <v>166.0244572</v>
      </c>
      <c r="I10" s="82">
        <v>178.09922090000001</v>
      </c>
      <c r="J10" s="82">
        <v>157.9</v>
      </c>
      <c r="K10" s="82">
        <v>129.92446495270801</v>
      </c>
      <c r="L10" s="82">
        <v>109.837092650017</v>
      </c>
      <c r="M10" s="82">
        <v>112.9800530692</v>
      </c>
      <c r="N10" s="82">
        <v>70.876148988955904</v>
      </c>
      <c r="O10" s="82">
        <v>74.085173552121205</v>
      </c>
      <c r="P10" s="99">
        <v>75.169029281779999</v>
      </c>
      <c r="Q10" s="99">
        <v>63.6597793077947</v>
      </c>
      <c r="R10" s="99">
        <v>91.564289990842099</v>
      </c>
      <c r="S10" s="99">
        <v>84.876090843355897</v>
      </c>
      <c r="T10" s="99">
        <v>78.153790718242405</v>
      </c>
      <c r="U10" s="99">
        <v>58.1384693123725</v>
      </c>
      <c r="V10" s="99">
        <v>69.920754628181001</v>
      </c>
      <c r="W10" s="99">
        <v>138.501560732294</v>
      </c>
      <c r="X10" s="99">
        <v>88.583022199188093</v>
      </c>
      <c r="Y10" s="99">
        <v>119.835743844386</v>
      </c>
      <c r="Z10" s="99">
        <v>124.186607356114</v>
      </c>
    </row>
    <row r="11" spans="1:26">
      <c r="B11" s="24" t="s">
        <v>68</v>
      </c>
      <c r="C11" s="58" t="s">
        <v>269</v>
      </c>
      <c r="D11" s="82">
        <v>0</v>
      </c>
      <c r="E11" s="82">
        <v>0</v>
      </c>
      <c r="F11" s="82">
        <v>0</v>
      </c>
      <c r="G11" s="82">
        <v>0</v>
      </c>
      <c r="H11" s="82">
        <v>0</v>
      </c>
      <c r="I11" s="82">
        <v>0</v>
      </c>
      <c r="J11" s="82">
        <v>0</v>
      </c>
      <c r="K11" s="82">
        <v>0</v>
      </c>
      <c r="L11" s="82" t="s">
        <v>211</v>
      </c>
      <c r="M11" s="82" t="s">
        <v>211</v>
      </c>
      <c r="N11" s="82" t="s">
        <v>211</v>
      </c>
      <c r="O11" s="82" t="s">
        <v>211</v>
      </c>
      <c r="P11" s="99" t="s">
        <v>211</v>
      </c>
      <c r="Q11" s="99" t="s">
        <v>211</v>
      </c>
      <c r="R11" s="99" t="s">
        <v>211</v>
      </c>
      <c r="S11" s="99" t="s">
        <v>211</v>
      </c>
      <c r="T11" s="99" t="s">
        <v>211</v>
      </c>
      <c r="U11" s="99" t="s">
        <v>211</v>
      </c>
      <c r="V11" s="99" t="s">
        <v>211</v>
      </c>
      <c r="W11" s="99" t="s">
        <v>211</v>
      </c>
      <c r="X11" s="99" t="s">
        <v>211</v>
      </c>
      <c r="Y11" s="99" t="s">
        <v>211</v>
      </c>
      <c r="Z11" s="99" t="s">
        <v>211</v>
      </c>
    </row>
    <row r="12" spans="1:26">
      <c r="B12" s="24" t="s">
        <v>69</v>
      </c>
      <c r="C12" s="58" t="s">
        <v>269</v>
      </c>
      <c r="D12" s="82">
        <v>0</v>
      </c>
      <c r="E12" s="82">
        <v>0</v>
      </c>
      <c r="F12" s="82">
        <v>0</v>
      </c>
      <c r="G12" s="82">
        <v>0</v>
      </c>
      <c r="H12" s="82">
        <v>0</v>
      </c>
      <c r="I12" s="82">
        <v>0</v>
      </c>
      <c r="J12" s="82" t="s">
        <v>211</v>
      </c>
      <c r="K12" s="82" t="s">
        <v>211</v>
      </c>
      <c r="L12" s="82" t="s">
        <v>211</v>
      </c>
      <c r="M12" s="82" t="s">
        <v>211</v>
      </c>
      <c r="N12" s="82" t="s">
        <v>211</v>
      </c>
      <c r="O12" s="82" t="s">
        <v>211</v>
      </c>
      <c r="P12" s="99" t="s">
        <v>211</v>
      </c>
      <c r="Q12" s="99" t="s">
        <v>211</v>
      </c>
      <c r="R12" s="99" t="s">
        <v>211</v>
      </c>
      <c r="S12" s="99" t="s">
        <v>211</v>
      </c>
      <c r="T12" s="99" t="s">
        <v>211</v>
      </c>
      <c r="U12" s="99" t="s">
        <v>211</v>
      </c>
      <c r="V12" s="99" t="s">
        <v>211</v>
      </c>
      <c r="W12" s="99" t="s">
        <v>211</v>
      </c>
      <c r="X12" s="99" t="s">
        <v>211</v>
      </c>
      <c r="Y12" s="99" t="s">
        <v>211</v>
      </c>
      <c r="Z12" s="99" t="s">
        <v>211</v>
      </c>
    </row>
    <row r="13" spans="1:26">
      <c r="B13" s="24" t="s">
        <v>70</v>
      </c>
      <c r="C13" s="58" t="s">
        <v>269</v>
      </c>
      <c r="D13" s="82">
        <v>1339.2973104</v>
      </c>
      <c r="E13" s="82">
        <v>1312.3681303999999</v>
      </c>
      <c r="F13" s="82">
        <v>1276.5509747999999</v>
      </c>
      <c r="G13" s="82">
        <v>1260.79537</v>
      </c>
      <c r="H13" s="82">
        <v>1211.2060704</v>
      </c>
      <c r="I13" s="82">
        <v>1151.5359840000001</v>
      </c>
      <c r="J13" s="82">
        <v>1109</v>
      </c>
      <c r="K13" s="82">
        <v>976.48507089057398</v>
      </c>
      <c r="L13" s="82">
        <v>869.41638102361605</v>
      </c>
      <c r="M13" s="82">
        <v>730.14481962088598</v>
      </c>
      <c r="N13" s="82">
        <v>735.77659387866402</v>
      </c>
      <c r="O13" s="82">
        <v>744.44936563737099</v>
      </c>
      <c r="P13" s="99">
        <v>668.09360314523406</v>
      </c>
      <c r="Q13" s="99">
        <v>627.31053813788401</v>
      </c>
      <c r="R13" s="99">
        <v>705.35268137370599</v>
      </c>
      <c r="S13" s="99">
        <v>752.02069559869096</v>
      </c>
      <c r="T13" s="99">
        <v>707.10304367172103</v>
      </c>
      <c r="U13" s="99">
        <v>682.57291743940698</v>
      </c>
      <c r="V13" s="99">
        <v>625.343170784579</v>
      </c>
      <c r="W13" s="99">
        <v>665.02625568303097</v>
      </c>
      <c r="X13" s="99">
        <v>611.125931061183</v>
      </c>
      <c r="Y13" s="99">
        <v>453.84824216113202</v>
      </c>
      <c r="Z13" s="99">
        <v>524.80110643390299</v>
      </c>
    </row>
    <row r="14" spans="1:26">
      <c r="D14" s="82"/>
      <c r="E14" s="82"/>
      <c r="F14" s="82"/>
      <c r="G14" s="82"/>
      <c r="H14" s="82"/>
      <c r="I14" s="82"/>
      <c r="J14" s="82"/>
      <c r="K14" s="82"/>
      <c r="L14" s="82"/>
      <c r="M14" s="82"/>
      <c r="N14" s="82"/>
      <c r="O14" s="82"/>
      <c r="P14" s="100"/>
      <c r="Q14" s="100"/>
      <c r="R14" s="100"/>
      <c r="S14" s="100"/>
      <c r="T14" s="100"/>
      <c r="U14" s="100"/>
      <c r="V14" s="100"/>
      <c r="W14" s="100"/>
      <c r="X14" s="100"/>
      <c r="Y14" s="100"/>
      <c r="Z14" s="100"/>
    </row>
    <row r="15" spans="1:26">
      <c r="A15" s="22" t="s">
        <v>413</v>
      </c>
      <c r="D15" s="82"/>
      <c r="E15" s="82"/>
      <c r="F15" s="82"/>
      <c r="G15" s="82"/>
      <c r="H15" s="82"/>
      <c r="I15" s="82"/>
      <c r="J15" s="82"/>
      <c r="K15" s="82"/>
      <c r="L15" s="82"/>
      <c r="M15" s="82"/>
      <c r="N15" s="82"/>
      <c r="O15" s="82"/>
      <c r="P15" s="100"/>
      <c r="Q15" s="100"/>
      <c r="R15" s="100"/>
      <c r="S15" s="100"/>
      <c r="T15" s="100"/>
      <c r="U15" s="100"/>
      <c r="V15" s="100"/>
      <c r="W15" s="100"/>
      <c r="X15" s="100"/>
      <c r="Y15" s="100"/>
      <c r="Z15" s="100"/>
    </row>
    <row r="16" spans="1:26">
      <c r="B16" s="11" t="s">
        <v>266</v>
      </c>
      <c r="C16" s="58" t="s">
        <v>269</v>
      </c>
      <c r="D16" s="82">
        <v>799.40212799999995</v>
      </c>
      <c r="E16" s="82">
        <v>863.45631200000003</v>
      </c>
      <c r="F16" s="82">
        <v>952.3444336</v>
      </c>
      <c r="G16" s="82">
        <v>1043.4678160000001</v>
      </c>
      <c r="H16" s="82">
        <v>1114.7064777600001</v>
      </c>
      <c r="I16" s="82">
        <v>1122.9313440000001</v>
      </c>
      <c r="J16" s="82">
        <v>1298.5</v>
      </c>
      <c r="K16" s="82">
        <v>1888.6938878369499</v>
      </c>
      <c r="L16" s="82">
        <v>2030.1964200963901</v>
      </c>
      <c r="M16" s="82">
        <v>1771.6182288493101</v>
      </c>
      <c r="N16" s="82">
        <v>1848.24935605783</v>
      </c>
      <c r="O16" s="82">
        <v>1919.8659937267</v>
      </c>
      <c r="P16" s="99">
        <v>1917.9153152951999</v>
      </c>
      <c r="Q16" s="99">
        <v>1909.0867909793001</v>
      </c>
      <c r="R16" s="99">
        <v>1866.4552795284601</v>
      </c>
      <c r="S16" s="99">
        <v>1867.8847895906699</v>
      </c>
      <c r="T16" s="99">
        <v>1831.59741030688</v>
      </c>
      <c r="U16" s="99">
        <v>1765.42192319428</v>
      </c>
      <c r="V16" s="99">
        <v>1797.0115074014</v>
      </c>
      <c r="W16" s="99">
        <v>1764.3906150887101</v>
      </c>
      <c r="X16" s="99">
        <v>1549.9265022194199</v>
      </c>
      <c r="Y16" s="99">
        <v>1510.2819274173401</v>
      </c>
      <c r="Z16" s="99">
        <v>1377.0462608617972</v>
      </c>
    </row>
    <row r="17" spans="1:26">
      <c r="B17" s="24" t="s">
        <v>63</v>
      </c>
      <c r="C17" s="58" t="s">
        <v>269</v>
      </c>
      <c r="D17" s="82">
        <v>638.11457600000006</v>
      </c>
      <c r="E17" s="82">
        <v>609.76050799999996</v>
      </c>
      <c r="F17" s="82">
        <v>698.54700000000003</v>
      </c>
      <c r="G17" s="82">
        <v>783.02576799999997</v>
      </c>
      <c r="H17" s="82">
        <v>792.97495200000003</v>
      </c>
      <c r="I17" s="82">
        <v>810.00333599999999</v>
      </c>
      <c r="J17" s="82">
        <v>835</v>
      </c>
      <c r="K17" s="82">
        <v>1380.44704210225</v>
      </c>
      <c r="L17" s="82">
        <v>1683.8532960222799</v>
      </c>
      <c r="M17" s="82">
        <v>1593.5596239924801</v>
      </c>
      <c r="N17" s="82">
        <v>1440.4150111516799</v>
      </c>
      <c r="O17" s="82">
        <v>1552.1995199999999</v>
      </c>
      <c r="P17" s="99">
        <v>1659.1049361310099</v>
      </c>
      <c r="Q17" s="99">
        <v>1747.0537712087</v>
      </c>
      <c r="R17" s="99">
        <v>1685.8212666095301</v>
      </c>
      <c r="S17" s="99">
        <v>1698.71255369511</v>
      </c>
      <c r="T17" s="99">
        <v>1616.77530123069</v>
      </c>
      <c r="U17" s="99">
        <v>1570.09946506597</v>
      </c>
      <c r="V17" s="99">
        <v>1472.1797159780001</v>
      </c>
      <c r="W17" s="99">
        <v>1578.19760699674</v>
      </c>
      <c r="X17" s="99">
        <v>1669.9223468776099</v>
      </c>
      <c r="Y17" s="99">
        <v>1581.31460210309</v>
      </c>
      <c r="Z17" s="99">
        <v>1424.3548103998116</v>
      </c>
    </row>
    <row r="18" spans="1:26">
      <c r="B18" s="24" t="s">
        <v>64</v>
      </c>
      <c r="C18" s="58" t="s">
        <v>269</v>
      </c>
      <c r="D18" s="82">
        <v>707.43992200000002</v>
      </c>
      <c r="E18" s="82">
        <v>780.24622320000003</v>
      </c>
      <c r="F18" s="82">
        <v>845.47543719999999</v>
      </c>
      <c r="G18" s="82">
        <v>769.71001999999999</v>
      </c>
      <c r="H18" s="82">
        <v>779.12099160000002</v>
      </c>
      <c r="I18" s="82">
        <v>751.90912470000001</v>
      </c>
      <c r="J18" s="82">
        <v>775.1</v>
      </c>
      <c r="K18" s="82" t="s">
        <v>211</v>
      </c>
      <c r="L18" s="82" t="s">
        <v>211</v>
      </c>
      <c r="M18" s="82" t="s">
        <v>211</v>
      </c>
      <c r="N18" s="82" t="s">
        <v>211</v>
      </c>
      <c r="O18" s="82" t="s">
        <v>211</v>
      </c>
      <c r="P18" s="99" t="s">
        <v>211</v>
      </c>
      <c r="Q18" s="99" t="s">
        <v>211</v>
      </c>
      <c r="R18" s="99" t="s">
        <v>211</v>
      </c>
      <c r="S18" s="99" t="s">
        <v>211</v>
      </c>
      <c r="T18" s="99" t="s">
        <v>211</v>
      </c>
      <c r="U18" s="99" t="s">
        <v>211</v>
      </c>
      <c r="V18" s="99" t="s">
        <v>211</v>
      </c>
      <c r="W18" s="99" t="s">
        <v>211</v>
      </c>
      <c r="X18" s="99" t="s">
        <v>211</v>
      </c>
      <c r="Y18" s="99" t="s">
        <v>211</v>
      </c>
      <c r="Z18" s="99" t="s">
        <v>211</v>
      </c>
    </row>
    <row r="19" spans="1:26">
      <c r="B19" s="24" t="s">
        <v>65</v>
      </c>
      <c r="C19" s="58" t="s">
        <v>269</v>
      </c>
      <c r="D19" s="82">
        <v>567.50674400000003</v>
      </c>
      <c r="E19" s="82">
        <v>571.45442800000001</v>
      </c>
      <c r="F19" s="82">
        <v>660.35894399999995</v>
      </c>
      <c r="G19" s="82">
        <v>594.419172</v>
      </c>
      <c r="H19" s="82">
        <v>644.98191599999996</v>
      </c>
      <c r="I19" s="82">
        <v>863.15535</v>
      </c>
      <c r="J19" s="82">
        <v>913.2</v>
      </c>
      <c r="K19" s="82" t="s">
        <v>211</v>
      </c>
      <c r="L19" s="82" t="s">
        <v>211</v>
      </c>
      <c r="M19" s="82" t="s">
        <v>211</v>
      </c>
      <c r="N19" s="82" t="s">
        <v>211</v>
      </c>
      <c r="O19" s="82" t="s">
        <v>211</v>
      </c>
      <c r="P19" s="99" t="s">
        <v>211</v>
      </c>
      <c r="Q19" s="99" t="s">
        <v>211</v>
      </c>
      <c r="R19" s="99" t="s">
        <v>211</v>
      </c>
      <c r="S19" s="99" t="s">
        <v>211</v>
      </c>
      <c r="T19" s="99" t="s">
        <v>211</v>
      </c>
      <c r="U19" s="99" t="s">
        <v>211</v>
      </c>
      <c r="V19" s="99" t="s">
        <v>211</v>
      </c>
      <c r="W19" s="99" t="s">
        <v>211</v>
      </c>
      <c r="X19" s="99" t="s">
        <v>211</v>
      </c>
      <c r="Y19" s="99" t="s">
        <v>211</v>
      </c>
      <c r="Z19" s="99" t="s">
        <v>211</v>
      </c>
    </row>
    <row r="20" spans="1:26">
      <c r="B20" s="24" t="s">
        <v>66</v>
      </c>
      <c r="C20" s="58" t="s">
        <v>269</v>
      </c>
      <c r="D20" s="82">
        <v>196</v>
      </c>
      <c r="E20" s="82">
        <v>219</v>
      </c>
      <c r="F20" s="82">
        <v>245</v>
      </c>
      <c r="G20" s="82">
        <v>235.33869799999999</v>
      </c>
      <c r="H20" s="82">
        <v>255.7972996</v>
      </c>
      <c r="I20" s="82">
        <v>216.58121</v>
      </c>
      <c r="J20" s="82">
        <v>220.8</v>
      </c>
      <c r="K20" s="82">
        <v>362.51723378772198</v>
      </c>
      <c r="L20" s="82">
        <v>378.98443684796803</v>
      </c>
      <c r="M20" s="82">
        <v>207.899010483144</v>
      </c>
      <c r="N20" s="82">
        <v>205.070824980927</v>
      </c>
      <c r="O20" s="82">
        <v>208.51394672048201</v>
      </c>
      <c r="P20" s="99">
        <v>277.46252846053301</v>
      </c>
      <c r="Q20" s="99">
        <v>303.06715584590199</v>
      </c>
      <c r="R20" s="99">
        <v>261.91839709224797</v>
      </c>
      <c r="S20" s="99">
        <v>246.513985519377</v>
      </c>
      <c r="T20" s="99">
        <v>316.84366950206203</v>
      </c>
      <c r="U20" s="99">
        <v>283.17522977345197</v>
      </c>
      <c r="V20" s="99">
        <v>319.74530795804401</v>
      </c>
      <c r="W20" s="99">
        <v>289.19290121310598</v>
      </c>
      <c r="X20" s="99">
        <v>294.97675923736801</v>
      </c>
      <c r="Y20" s="99">
        <v>279.125565181019</v>
      </c>
      <c r="Z20" s="99">
        <v>251.41982559472538</v>
      </c>
    </row>
    <row r="21" spans="1:26">
      <c r="B21" s="24" t="s">
        <v>67</v>
      </c>
      <c r="C21" s="58" t="s">
        <v>269</v>
      </c>
      <c r="D21" s="82">
        <v>208.86799999999999</v>
      </c>
      <c r="E21" s="82">
        <v>228.02500000000001</v>
      </c>
      <c r="F21" s="82">
        <v>246.20599999999999</v>
      </c>
      <c r="G21" s="82">
        <v>198.98487600000001</v>
      </c>
      <c r="H21" s="82">
        <v>185.30816999999999</v>
      </c>
      <c r="I21" s="82">
        <v>179.32699980000001</v>
      </c>
      <c r="J21" s="82">
        <v>220.3</v>
      </c>
      <c r="K21" s="82">
        <v>396.85116128027101</v>
      </c>
      <c r="L21" s="82">
        <v>503.45783661898099</v>
      </c>
      <c r="M21" s="82">
        <v>253.22055984555999</v>
      </c>
      <c r="N21" s="82">
        <v>162.21691286573099</v>
      </c>
      <c r="O21" s="82">
        <v>168.17</v>
      </c>
      <c r="P21" s="99">
        <v>235.90570801639799</v>
      </c>
      <c r="Q21" s="99">
        <v>223.781704536446</v>
      </c>
      <c r="R21" s="99">
        <v>205.73042806173899</v>
      </c>
      <c r="S21" s="99">
        <v>207.73186551455899</v>
      </c>
      <c r="T21" s="99">
        <v>229.82689045106699</v>
      </c>
      <c r="U21" s="99">
        <v>205.913486281693</v>
      </c>
      <c r="V21" s="99">
        <v>217.39280043708999</v>
      </c>
      <c r="W21" s="99">
        <v>232.010045723129</v>
      </c>
      <c r="X21" s="99">
        <v>224.27026715820099</v>
      </c>
      <c r="Y21" s="99">
        <v>203.23361078258401</v>
      </c>
      <c r="Z21" s="99">
        <v>183.06083480675051</v>
      </c>
    </row>
    <row r="22" spans="1:26">
      <c r="B22" s="24" t="s">
        <v>68</v>
      </c>
      <c r="C22" s="58" t="s">
        <v>269</v>
      </c>
      <c r="D22" s="82">
        <v>0</v>
      </c>
      <c r="E22" s="82">
        <v>0</v>
      </c>
      <c r="F22" s="82">
        <v>0</v>
      </c>
      <c r="G22" s="82">
        <v>0</v>
      </c>
      <c r="H22" s="82">
        <v>0</v>
      </c>
      <c r="I22" s="82">
        <v>0</v>
      </c>
      <c r="J22" s="82">
        <v>0</v>
      </c>
      <c r="K22" s="82">
        <v>0</v>
      </c>
      <c r="L22" s="82" t="s">
        <v>211</v>
      </c>
      <c r="M22" s="82" t="s">
        <v>211</v>
      </c>
      <c r="N22" s="82" t="s">
        <v>211</v>
      </c>
      <c r="O22" s="82" t="s">
        <v>211</v>
      </c>
      <c r="P22" s="99" t="s">
        <v>211</v>
      </c>
      <c r="Q22" s="99" t="s">
        <v>211</v>
      </c>
      <c r="R22" s="99" t="s">
        <v>211</v>
      </c>
      <c r="S22" s="99" t="s">
        <v>211</v>
      </c>
      <c r="T22" s="99" t="s">
        <v>211</v>
      </c>
      <c r="U22" s="99" t="s">
        <v>211</v>
      </c>
      <c r="V22" s="99" t="s">
        <v>211</v>
      </c>
      <c r="W22" s="99" t="s">
        <v>211</v>
      </c>
      <c r="X22" s="99" t="s">
        <v>211</v>
      </c>
      <c r="Y22" s="99" t="s">
        <v>211</v>
      </c>
      <c r="Z22" s="99" t="s">
        <v>211</v>
      </c>
    </row>
    <row r="23" spans="1:26">
      <c r="B23" s="24" t="s">
        <v>69</v>
      </c>
      <c r="C23" s="58" t="s">
        <v>269</v>
      </c>
      <c r="D23" s="82">
        <v>45.812274000000002</v>
      </c>
      <c r="E23" s="82">
        <v>83.4551108</v>
      </c>
      <c r="F23" s="82">
        <v>64.281924000000004</v>
      </c>
      <c r="G23" s="82">
        <v>54.357574</v>
      </c>
      <c r="H23" s="82">
        <v>47.823272000000003</v>
      </c>
      <c r="I23" s="82">
        <v>67.828000000000003</v>
      </c>
      <c r="J23" s="82" t="s">
        <v>211</v>
      </c>
      <c r="K23" s="82" t="s">
        <v>211</v>
      </c>
      <c r="L23" s="82" t="s">
        <v>211</v>
      </c>
      <c r="M23" s="82" t="s">
        <v>211</v>
      </c>
      <c r="N23" s="82" t="s">
        <v>211</v>
      </c>
      <c r="O23" s="82" t="s">
        <v>211</v>
      </c>
      <c r="P23" s="99" t="s">
        <v>211</v>
      </c>
      <c r="Q23" s="99" t="s">
        <v>211</v>
      </c>
      <c r="R23" s="99" t="s">
        <v>211</v>
      </c>
      <c r="S23" s="99" t="s">
        <v>211</v>
      </c>
      <c r="T23" s="99" t="s">
        <v>211</v>
      </c>
      <c r="U23" s="99" t="s">
        <v>211</v>
      </c>
      <c r="V23" s="99" t="s">
        <v>211</v>
      </c>
      <c r="W23" s="99" t="s">
        <v>211</v>
      </c>
      <c r="X23" s="99" t="s">
        <v>211</v>
      </c>
      <c r="Y23" s="99" t="s">
        <v>211</v>
      </c>
      <c r="Z23" s="99" t="s">
        <v>211</v>
      </c>
    </row>
    <row r="24" spans="1:26">
      <c r="A24" s="25"/>
      <c r="B24" s="26" t="s">
        <v>70</v>
      </c>
      <c r="C24" s="63" t="s">
        <v>269</v>
      </c>
      <c r="D24" s="82">
        <v>3163.1436440000002</v>
      </c>
      <c r="E24" s="82">
        <v>3355.3975820000001</v>
      </c>
      <c r="F24" s="82">
        <v>3712.2137388000001</v>
      </c>
      <c r="G24" s="82">
        <v>3679.3039239999998</v>
      </c>
      <c r="H24" s="82">
        <v>3820.7130789600001</v>
      </c>
      <c r="I24" s="82">
        <v>4011.7353644999998</v>
      </c>
      <c r="J24" s="82">
        <v>4263</v>
      </c>
      <c r="K24" s="82">
        <v>4028.50932500719</v>
      </c>
      <c r="L24" s="82">
        <v>4596.4919895856201</v>
      </c>
      <c r="M24" s="82">
        <v>3826.2974231705002</v>
      </c>
      <c r="N24" s="82">
        <v>3655.9521050561798</v>
      </c>
      <c r="O24" s="82">
        <v>3848.7494604471799</v>
      </c>
      <c r="P24" s="101">
        <v>4090.3884879031302</v>
      </c>
      <c r="Q24" s="101">
        <v>4182.9894225703501</v>
      </c>
      <c r="R24" s="101">
        <v>4019.9253712919799</v>
      </c>
      <c r="S24" s="101">
        <v>4020.8431943197102</v>
      </c>
      <c r="T24" s="101">
        <v>3995.0432714907001</v>
      </c>
      <c r="U24" s="101">
        <v>3824.6101043153899</v>
      </c>
      <c r="V24" s="101">
        <v>3751.33883442873</v>
      </c>
      <c r="W24" s="101">
        <v>3863.7911690216902</v>
      </c>
      <c r="X24" s="101">
        <v>3739</v>
      </c>
      <c r="Y24" s="101">
        <v>3802.9976324160998</v>
      </c>
      <c r="Z24" s="101">
        <v>3235.8817316630798</v>
      </c>
    </row>
    <row r="25" spans="1:26" ht="53.5" customHeight="1">
      <c r="D25" s="167" t="s">
        <v>412</v>
      </c>
      <c r="E25" s="167"/>
      <c r="F25" s="167"/>
      <c r="G25" s="167"/>
      <c r="H25" s="167"/>
      <c r="I25" s="167"/>
      <c r="J25" s="167"/>
      <c r="K25" s="167"/>
      <c r="L25" s="167"/>
      <c r="M25" s="167"/>
      <c r="N25" s="167"/>
      <c r="O25" s="167"/>
      <c r="P25" s="167"/>
      <c r="Q25" s="167"/>
      <c r="R25" s="167"/>
      <c r="S25" s="167"/>
      <c r="T25" s="167"/>
      <c r="U25" s="167"/>
      <c r="V25" s="167"/>
      <c r="W25" s="167"/>
      <c r="X25" s="167"/>
      <c r="Y25" s="167"/>
      <c r="Z25" s="167"/>
    </row>
    <row r="26" spans="1:26">
      <c r="A26" t="s">
        <v>2</v>
      </c>
    </row>
    <row r="27" spans="1:26">
      <c r="A27" t="s">
        <v>2</v>
      </c>
    </row>
    <row r="28" spans="1:26">
      <c r="A28" t="s">
        <v>2</v>
      </c>
    </row>
    <row r="29" spans="1:26">
      <c r="A29" t="s">
        <v>2</v>
      </c>
    </row>
    <row r="30" spans="1:26">
      <c r="A30" t="s">
        <v>2</v>
      </c>
    </row>
    <row r="31" spans="1:26">
      <c r="A31" t="s">
        <v>2</v>
      </c>
    </row>
    <row r="32" spans="1:26">
      <c r="A32" t="s">
        <v>2</v>
      </c>
    </row>
    <row r="33" spans="1:1">
      <c r="A33" t="s">
        <v>2</v>
      </c>
    </row>
    <row r="34" spans="1:1">
      <c r="A34" t="s">
        <v>2</v>
      </c>
    </row>
  </sheetData>
  <mergeCells count="2">
    <mergeCell ref="A2:X2"/>
    <mergeCell ref="D25:Z25"/>
  </mergeCells>
  <phoneticPr fontId="14" type="noConversion"/>
  <conditionalFormatting sqref="D5:Z24">
    <cfRule type="cellIs" dxfId="47" priority="1"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FABAC-7D26-4872-8704-5FB56DD4ECB3}">
  <dimension ref="A1:V48"/>
  <sheetViews>
    <sheetView zoomScaleNormal="100" workbookViewId="0">
      <selection activeCell="AB8" sqref="AB8"/>
    </sheetView>
  </sheetViews>
  <sheetFormatPr defaultColWidth="9.26953125" defaultRowHeight="14.5"/>
  <cols>
    <col min="1" max="2" width="3" customWidth="1"/>
    <col min="3" max="3" width="40.453125" bestFit="1" customWidth="1"/>
    <col min="4" max="4" width="4.7265625" bestFit="1" customWidth="1"/>
    <col min="5" max="8" width="9.453125" bestFit="1" customWidth="1"/>
    <col min="9" max="9" width="8.7265625" bestFit="1" customWidth="1"/>
    <col min="10" max="15" width="9.453125" bestFit="1" customWidth="1"/>
    <col min="16" max="19" width="9" bestFit="1" customWidth="1"/>
    <col min="20" max="22" width="9" customWidth="1"/>
  </cols>
  <sheetData>
    <row r="1" spans="1:22" ht="71.25" customHeight="1">
      <c r="A1" t="s">
        <v>2</v>
      </c>
    </row>
    <row r="2" spans="1:22" ht="21">
      <c r="A2" s="162" t="s">
        <v>263</v>
      </c>
      <c r="B2" s="162"/>
      <c r="C2" s="162"/>
      <c r="D2" s="162"/>
      <c r="E2" s="162"/>
      <c r="F2" s="162"/>
      <c r="G2" s="162"/>
      <c r="H2" s="162"/>
      <c r="I2" s="162"/>
      <c r="J2" s="162"/>
      <c r="K2" s="162"/>
      <c r="L2" s="162"/>
      <c r="M2" s="162"/>
      <c r="N2" s="162"/>
      <c r="O2" s="162"/>
      <c r="P2" s="162"/>
      <c r="Q2" s="162"/>
      <c r="R2" s="162"/>
      <c r="S2" s="162"/>
      <c r="T2" s="162"/>
    </row>
    <row r="3" spans="1:22" s="21" customFormat="1" ht="12">
      <c r="A3" s="64" t="s">
        <v>38</v>
      </c>
      <c r="B3" s="64" t="s">
        <v>38</v>
      </c>
      <c r="C3" s="64" t="s">
        <v>38</v>
      </c>
      <c r="D3" s="66" t="s">
        <v>37</v>
      </c>
      <c r="E3" s="64" t="s">
        <v>281</v>
      </c>
      <c r="F3" s="64" t="s">
        <v>282</v>
      </c>
      <c r="G3" s="64" t="s">
        <v>283</v>
      </c>
      <c r="H3" s="64" t="s">
        <v>284</v>
      </c>
      <c r="I3" s="64" t="s">
        <v>285</v>
      </c>
      <c r="J3" s="64" t="s">
        <v>286</v>
      </c>
      <c r="K3" s="64" t="s">
        <v>287</v>
      </c>
      <c r="L3" s="64" t="s">
        <v>288</v>
      </c>
      <c r="M3" s="64" t="s">
        <v>289</v>
      </c>
      <c r="N3" s="64" t="s">
        <v>290</v>
      </c>
      <c r="O3" s="64" t="s">
        <v>291</v>
      </c>
      <c r="P3" s="64" t="s">
        <v>292</v>
      </c>
      <c r="Q3" s="64" t="s">
        <v>293</v>
      </c>
      <c r="R3" s="64" t="s">
        <v>294</v>
      </c>
      <c r="S3" s="64" t="s">
        <v>295</v>
      </c>
      <c r="T3" s="64" t="s">
        <v>305</v>
      </c>
      <c r="U3" s="64" t="s">
        <v>313</v>
      </c>
      <c r="V3" s="64" t="s">
        <v>328</v>
      </c>
    </row>
    <row r="5" spans="1:22">
      <c r="A5" s="22" t="s">
        <v>259</v>
      </c>
    </row>
    <row r="6" spans="1:22">
      <c r="B6" s="23" t="s">
        <v>110</v>
      </c>
      <c r="C6" s="24"/>
      <c r="D6" s="60" t="s">
        <v>47</v>
      </c>
      <c r="E6" s="82">
        <v>2813</v>
      </c>
      <c r="F6" s="82">
        <v>3254</v>
      </c>
      <c r="G6" s="82">
        <v>3189</v>
      </c>
      <c r="H6" s="82">
        <v>3495</v>
      </c>
      <c r="I6" s="82">
        <v>3163</v>
      </c>
      <c r="J6" s="82">
        <v>3027</v>
      </c>
      <c r="K6" s="82">
        <v>2855</v>
      </c>
      <c r="L6" s="82">
        <v>3421</v>
      </c>
      <c r="M6" s="82">
        <v>3644</v>
      </c>
      <c r="N6" s="82">
        <v>4548</v>
      </c>
      <c r="O6" s="82">
        <v>4709</v>
      </c>
      <c r="P6" s="82">
        <v>4834</v>
      </c>
      <c r="Q6" s="82">
        <v>5213</v>
      </c>
      <c r="R6" s="82">
        <v>4063</v>
      </c>
      <c r="S6" s="82">
        <v>3776</v>
      </c>
      <c r="T6" s="82">
        <v>4109</v>
      </c>
      <c r="U6" s="82">
        <v>4051</v>
      </c>
      <c r="V6" s="82">
        <v>4083</v>
      </c>
    </row>
    <row r="7" spans="1:22">
      <c r="A7" t="s">
        <v>2</v>
      </c>
      <c r="D7" s="61"/>
      <c r="E7" s="82"/>
      <c r="F7" s="82"/>
      <c r="G7" s="82"/>
      <c r="H7" s="82"/>
      <c r="I7" s="82"/>
      <c r="J7" s="82"/>
      <c r="K7" s="82"/>
      <c r="L7" s="82"/>
      <c r="M7" s="82"/>
      <c r="N7" s="82"/>
      <c r="O7" s="82"/>
      <c r="P7" s="82"/>
      <c r="Q7" s="82"/>
      <c r="R7" s="82"/>
      <c r="S7" s="82"/>
      <c r="T7" s="82"/>
      <c r="U7" s="82"/>
      <c r="V7" s="82"/>
    </row>
    <row r="8" spans="1:22">
      <c r="A8" s="23" t="s">
        <v>111</v>
      </c>
      <c r="D8" s="61"/>
      <c r="E8" s="82"/>
      <c r="F8" s="82"/>
      <c r="G8" s="82"/>
      <c r="H8" s="82"/>
      <c r="I8" s="82"/>
      <c r="J8" s="82"/>
      <c r="K8" s="82"/>
      <c r="L8" s="82"/>
      <c r="M8" s="82"/>
      <c r="N8" s="82"/>
      <c r="O8" s="82"/>
      <c r="P8" s="82"/>
      <c r="Q8" s="82"/>
      <c r="R8" s="82"/>
      <c r="S8" s="82"/>
      <c r="T8" s="82"/>
      <c r="U8" s="82"/>
      <c r="V8" s="82"/>
    </row>
    <row r="9" spans="1:22">
      <c r="B9" s="23" t="s">
        <v>112</v>
      </c>
      <c r="D9" s="61"/>
      <c r="E9" s="82"/>
      <c r="F9" s="82"/>
      <c r="G9" s="82"/>
      <c r="H9" s="82"/>
      <c r="I9" s="82"/>
      <c r="J9" s="82"/>
      <c r="K9" s="82"/>
      <c r="L9" s="82"/>
      <c r="M9" s="82"/>
      <c r="N9" s="82"/>
      <c r="O9" s="82"/>
      <c r="P9" s="82"/>
      <c r="Q9" s="82"/>
      <c r="R9" s="82"/>
      <c r="S9" s="82"/>
    </row>
    <row r="10" spans="1:22">
      <c r="C10" s="24" t="s">
        <v>113</v>
      </c>
      <c r="D10" s="60" t="s">
        <v>47</v>
      </c>
      <c r="E10" s="82">
        <v>1430</v>
      </c>
      <c r="F10" s="82">
        <v>1633</v>
      </c>
      <c r="G10" s="82">
        <v>1441</v>
      </c>
      <c r="H10" s="82">
        <v>1321</v>
      </c>
      <c r="I10" s="82">
        <v>1284</v>
      </c>
      <c r="J10" s="82">
        <v>1127</v>
      </c>
      <c r="K10" s="82" t="s">
        <v>211</v>
      </c>
      <c r="L10" s="82" t="s">
        <v>211</v>
      </c>
      <c r="M10" s="82">
        <v>1591</v>
      </c>
      <c r="N10" s="82" t="s">
        <v>211</v>
      </c>
      <c r="O10" s="82">
        <v>1576</v>
      </c>
      <c r="P10" s="82">
        <v>1562</v>
      </c>
      <c r="Q10" s="82">
        <v>1597</v>
      </c>
      <c r="R10" s="82">
        <v>1585</v>
      </c>
      <c r="S10" s="82">
        <v>1646</v>
      </c>
      <c r="T10" s="82">
        <v>1899</v>
      </c>
      <c r="U10" s="82">
        <v>1932</v>
      </c>
      <c r="V10" s="82" t="s">
        <v>211</v>
      </c>
    </row>
    <row r="11" spans="1:22">
      <c r="C11" s="24" t="s">
        <v>114</v>
      </c>
      <c r="D11" s="60" t="s">
        <v>47</v>
      </c>
      <c r="E11" s="82">
        <v>825</v>
      </c>
      <c r="F11" s="82">
        <v>883</v>
      </c>
      <c r="G11" s="82">
        <v>875</v>
      </c>
      <c r="H11" s="82">
        <v>628</v>
      </c>
      <c r="I11" s="82">
        <v>688</v>
      </c>
      <c r="J11" s="82">
        <v>515</v>
      </c>
      <c r="K11" s="82" t="s">
        <v>211</v>
      </c>
      <c r="L11" s="82" t="s">
        <v>211</v>
      </c>
      <c r="M11" s="82">
        <v>236</v>
      </c>
      <c r="N11" s="82" t="s">
        <v>211</v>
      </c>
      <c r="O11" s="82">
        <v>570</v>
      </c>
      <c r="P11" s="82">
        <v>527</v>
      </c>
      <c r="Q11" s="82">
        <v>590</v>
      </c>
      <c r="R11" s="82">
        <v>521</v>
      </c>
      <c r="S11" s="82">
        <v>536</v>
      </c>
      <c r="T11" s="82">
        <v>470</v>
      </c>
      <c r="U11" s="82">
        <v>391</v>
      </c>
      <c r="V11" s="82" t="s">
        <v>211</v>
      </c>
    </row>
    <row r="12" spans="1:22">
      <c r="C12" s="24" t="s">
        <v>115</v>
      </c>
      <c r="D12" s="60" t="s">
        <v>47</v>
      </c>
      <c r="E12" s="82">
        <v>2268</v>
      </c>
      <c r="F12" s="82">
        <v>2630</v>
      </c>
      <c r="G12" s="82">
        <v>2479</v>
      </c>
      <c r="H12" s="82">
        <v>2744</v>
      </c>
      <c r="I12" s="82">
        <v>2466</v>
      </c>
      <c r="J12" s="82">
        <v>2245</v>
      </c>
      <c r="K12" s="82">
        <v>1974</v>
      </c>
      <c r="L12" s="82">
        <v>1795</v>
      </c>
      <c r="M12" s="82">
        <v>1900</v>
      </c>
      <c r="N12" s="82">
        <v>2119</v>
      </c>
      <c r="O12" s="82">
        <v>2134</v>
      </c>
      <c r="P12" s="82">
        <v>2251</v>
      </c>
      <c r="Q12" s="82">
        <v>1905</v>
      </c>
      <c r="R12" s="82">
        <v>1487</v>
      </c>
      <c r="S12" s="82">
        <v>1773</v>
      </c>
      <c r="T12" s="82">
        <v>2249</v>
      </c>
      <c r="U12" s="82">
        <v>2378</v>
      </c>
      <c r="V12" s="82" t="s">
        <v>211</v>
      </c>
    </row>
    <row r="13" spans="1:22">
      <c r="C13" s="24" t="s">
        <v>43</v>
      </c>
      <c r="D13" s="60" t="s">
        <v>47</v>
      </c>
      <c r="E13" s="82">
        <v>4523</v>
      </c>
      <c r="F13" s="82">
        <v>5145</v>
      </c>
      <c r="G13" s="82">
        <v>4795</v>
      </c>
      <c r="H13" s="82">
        <v>4693</v>
      </c>
      <c r="I13" s="82">
        <v>4438</v>
      </c>
      <c r="J13" s="82">
        <v>3886</v>
      </c>
      <c r="K13" s="82">
        <v>3393</v>
      </c>
      <c r="L13" s="82">
        <v>3288</v>
      </c>
      <c r="M13" s="82">
        <v>3727</v>
      </c>
      <c r="N13" s="82">
        <v>4108</v>
      </c>
      <c r="O13" s="82">
        <v>4280</v>
      </c>
      <c r="P13" s="82">
        <v>4340</v>
      </c>
      <c r="Q13" s="82">
        <v>4091</v>
      </c>
      <c r="R13" s="82">
        <v>3593</v>
      </c>
      <c r="S13" s="82">
        <v>3954</v>
      </c>
      <c r="T13" s="82">
        <v>4617</v>
      </c>
      <c r="U13" s="82">
        <v>4701</v>
      </c>
      <c r="V13" s="82" t="s">
        <v>211</v>
      </c>
    </row>
    <row r="14" spans="1:22">
      <c r="A14" t="s">
        <v>2</v>
      </c>
      <c r="D14" s="61"/>
      <c r="E14" s="82"/>
      <c r="F14" s="82"/>
      <c r="G14" s="82"/>
      <c r="H14" s="82"/>
      <c r="I14" s="82"/>
      <c r="J14" s="82"/>
      <c r="K14" s="82"/>
      <c r="L14" s="82"/>
      <c r="M14" s="82"/>
      <c r="N14" s="82"/>
      <c r="O14" s="82"/>
      <c r="P14" s="82"/>
      <c r="Q14" s="82"/>
      <c r="R14" s="82"/>
      <c r="S14" s="82"/>
      <c r="T14" s="82"/>
      <c r="U14" s="82"/>
      <c r="V14" s="82"/>
    </row>
    <row r="15" spans="1:22">
      <c r="B15" s="23" t="s">
        <v>116</v>
      </c>
      <c r="D15" s="61"/>
      <c r="E15" s="82"/>
      <c r="F15" s="82"/>
      <c r="G15" s="82"/>
      <c r="H15" s="82"/>
      <c r="I15" s="82"/>
      <c r="J15" s="82"/>
      <c r="K15" s="82"/>
      <c r="L15" s="82"/>
      <c r="M15" s="82"/>
      <c r="N15" s="82"/>
      <c r="O15" s="82"/>
      <c r="P15" s="82"/>
      <c r="Q15" s="82"/>
      <c r="R15" s="82"/>
      <c r="S15" s="82"/>
    </row>
    <row r="16" spans="1:22">
      <c r="C16" s="24" t="s">
        <v>117</v>
      </c>
      <c r="D16" s="60" t="s">
        <v>47</v>
      </c>
      <c r="E16" s="82">
        <v>147</v>
      </c>
      <c r="F16" s="82">
        <v>171</v>
      </c>
      <c r="G16" s="82">
        <v>166</v>
      </c>
      <c r="H16" s="82">
        <v>207</v>
      </c>
      <c r="I16" s="82">
        <v>316</v>
      </c>
      <c r="J16" s="82">
        <v>195</v>
      </c>
      <c r="K16" s="82">
        <v>168</v>
      </c>
      <c r="L16" s="82">
        <v>219</v>
      </c>
      <c r="M16" s="82">
        <v>205</v>
      </c>
      <c r="N16" s="82">
        <v>267</v>
      </c>
      <c r="O16" s="82">
        <v>300</v>
      </c>
      <c r="P16" s="82">
        <v>368</v>
      </c>
      <c r="Q16" s="82">
        <v>358</v>
      </c>
      <c r="R16" s="82">
        <v>428</v>
      </c>
      <c r="S16" s="82">
        <v>399</v>
      </c>
      <c r="T16" s="82">
        <v>688</v>
      </c>
      <c r="U16" s="82">
        <v>700</v>
      </c>
      <c r="V16" s="82" t="s">
        <v>211</v>
      </c>
    </row>
    <row r="17" spans="1:22">
      <c r="C17" s="24" t="s">
        <v>118</v>
      </c>
      <c r="D17" s="60" t="s">
        <v>47</v>
      </c>
      <c r="E17" s="82">
        <v>4626</v>
      </c>
      <c r="F17" s="82">
        <v>5236</v>
      </c>
      <c r="G17" s="82">
        <v>5124</v>
      </c>
      <c r="H17" s="82">
        <v>5376</v>
      </c>
      <c r="I17" s="82">
        <v>5866</v>
      </c>
      <c r="J17" s="82">
        <v>5353</v>
      </c>
      <c r="K17" s="82">
        <v>4620</v>
      </c>
      <c r="L17" s="82">
        <v>4640</v>
      </c>
      <c r="M17" s="82">
        <v>5717</v>
      </c>
      <c r="N17" s="82">
        <v>6223</v>
      </c>
      <c r="O17" s="82">
        <v>6041</v>
      </c>
      <c r="P17" s="82">
        <v>6379</v>
      </c>
      <c r="Q17" s="82">
        <v>6588</v>
      </c>
      <c r="R17" s="82">
        <v>6591</v>
      </c>
      <c r="S17" s="82">
        <v>6658</v>
      </c>
      <c r="T17" s="82">
        <v>7577</v>
      </c>
      <c r="U17" s="82">
        <v>8424</v>
      </c>
      <c r="V17" s="82" t="s">
        <v>211</v>
      </c>
    </row>
    <row r="18" spans="1:22">
      <c r="C18" s="24" t="s">
        <v>119</v>
      </c>
      <c r="D18" s="60" t="s">
        <v>47</v>
      </c>
      <c r="E18" s="82">
        <v>414</v>
      </c>
      <c r="F18" s="82">
        <v>477</v>
      </c>
      <c r="G18" s="82">
        <v>442</v>
      </c>
      <c r="H18" s="82">
        <v>468</v>
      </c>
      <c r="I18" s="82">
        <v>413</v>
      </c>
      <c r="J18" s="82">
        <v>386</v>
      </c>
      <c r="K18" s="82">
        <v>359</v>
      </c>
      <c r="L18" s="82">
        <v>359</v>
      </c>
      <c r="M18" s="82">
        <v>309</v>
      </c>
      <c r="N18" s="82">
        <v>356</v>
      </c>
      <c r="O18" s="82">
        <v>347</v>
      </c>
      <c r="P18" s="82">
        <v>480</v>
      </c>
      <c r="Q18" s="82">
        <v>453</v>
      </c>
      <c r="R18" s="82">
        <v>467</v>
      </c>
      <c r="S18" s="82">
        <v>490</v>
      </c>
      <c r="T18" s="82">
        <v>590</v>
      </c>
      <c r="U18" s="82">
        <v>643</v>
      </c>
      <c r="V18" s="82" t="s">
        <v>211</v>
      </c>
    </row>
    <row r="19" spans="1:22">
      <c r="C19" s="24" t="s">
        <v>120</v>
      </c>
      <c r="D19" s="60" t="s">
        <v>47</v>
      </c>
      <c r="E19" s="82">
        <v>1111</v>
      </c>
      <c r="F19" s="82">
        <v>1118</v>
      </c>
      <c r="G19" s="82">
        <v>1085</v>
      </c>
      <c r="H19" s="82">
        <v>1062</v>
      </c>
      <c r="I19" s="82">
        <v>1206</v>
      </c>
      <c r="J19" s="82">
        <v>1054</v>
      </c>
      <c r="K19" s="82">
        <v>896</v>
      </c>
      <c r="L19" s="82">
        <v>975</v>
      </c>
      <c r="M19" s="82">
        <v>1155</v>
      </c>
      <c r="N19" s="82">
        <v>1209</v>
      </c>
      <c r="O19" s="82">
        <v>1140</v>
      </c>
      <c r="P19" s="82">
        <v>1157</v>
      </c>
      <c r="Q19" s="82">
        <v>1012</v>
      </c>
      <c r="R19" s="82">
        <v>921</v>
      </c>
      <c r="S19" s="82">
        <v>1001</v>
      </c>
      <c r="T19" s="82">
        <v>1081</v>
      </c>
      <c r="U19" s="82">
        <v>1137</v>
      </c>
      <c r="V19" s="82" t="s">
        <v>211</v>
      </c>
    </row>
    <row r="20" spans="1:22">
      <c r="C20" s="24" t="s">
        <v>121</v>
      </c>
      <c r="D20" s="60" t="s">
        <v>47</v>
      </c>
      <c r="E20" s="82">
        <v>767</v>
      </c>
      <c r="F20" s="82">
        <v>952</v>
      </c>
      <c r="G20" s="82">
        <v>888</v>
      </c>
      <c r="H20" s="82">
        <v>885</v>
      </c>
      <c r="I20" s="82">
        <v>909</v>
      </c>
      <c r="J20" s="82">
        <v>828</v>
      </c>
      <c r="K20" s="82">
        <v>787</v>
      </c>
      <c r="L20" s="82">
        <v>741</v>
      </c>
      <c r="M20" s="82">
        <v>928</v>
      </c>
      <c r="N20" s="82">
        <v>1032</v>
      </c>
      <c r="O20" s="82">
        <v>902</v>
      </c>
      <c r="P20" s="82">
        <v>977</v>
      </c>
      <c r="Q20" s="82">
        <v>1011</v>
      </c>
      <c r="R20" s="82">
        <v>1072</v>
      </c>
      <c r="S20" s="82">
        <v>1187</v>
      </c>
      <c r="T20" s="82">
        <v>1495</v>
      </c>
      <c r="U20" s="82">
        <v>1637</v>
      </c>
      <c r="V20" s="82" t="s">
        <v>211</v>
      </c>
    </row>
    <row r="21" spans="1:22">
      <c r="C21" s="24" t="s">
        <v>43</v>
      </c>
      <c r="D21" s="60" t="s">
        <v>47</v>
      </c>
      <c r="E21" s="82">
        <v>7065</v>
      </c>
      <c r="F21" s="82">
        <v>7954</v>
      </c>
      <c r="G21" s="82">
        <v>7704</v>
      </c>
      <c r="H21" s="82">
        <v>7999</v>
      </c>
      <c r="I21" s="82">
        <v>8710</v>
      </c>
      <c r="J21" s="82">
        <v>7817</v>
      </c>
      <c r="K21" s="82">
        <v>6829</v>
      </c>
      <c r="L21" s="82">
        <v>6934</v>
      </c>
      <c r="M21" s="82">
        <v>8314</v>
      </c>
      <c r="N21" s="82">
        <v>9087</v>
      </c>
      <c r="O21" s="82">
        <v>8731</v>
      </c>
      <c r="P21" s="82">
        <v>9360</v>
      </c>
      <c r="Q21" s="82">
        <v>9420</v>
      </c>
      <c r="R21" s="82">
        <v>9480</v>
      </c>
      <c r="S21" s="82">
        <v>9735</v>
      </c>
      <c r="T21" s="82">
        <v>11431</v>
      </c>
      <c r="U21" s="82">
        <v>12541</v>
      </c>
      <c r="V21" s="82" t="s">
        <v>211</v>
      </c>
    </row>
    <row r="22" spans="1:22">
      <c r="A22" t="s">
        <v>2</v>
      </c>
      <c r="D22" s="61"/>
      <c r="E22" s="82"/>
      <c r="F22" s="82"/>
      <c r="G22" s="82"/>
      <c r="H22" s="82"/>
      <c r="I22" s="82"/>
      <c r="J22" s="82"/>
      <c r="K22" s="82"/>
      <c r="L22" s="82"/>
      <c r="M22" s="82"/>
      <c r="N22" s="82"/>
      <c r="O22" s="82"/>
      <c r="P22" s="82"/>
      <c r="Q22" s="82"/>
      <c r="R22" s="82"/>
      <c r="S22" s="82"/>
      <c r="T22" s="82"/>
      <c r="U22" s="82"/>
      <c r="V22" s="82"/>
    </row>
    <row r="23" spans="1:22">
      <c r="B23" s="23" t="s">
        <v>122</v>
      </c>
      <c r="C23" s="24"/>
      <c r="D23" s="60" t="s">
        <v>47</v>
      </c>
      <c r="E23" s="82">
        <v>11589</v>
      </c>
      <c r="F23" s="82">
        <v>13099</v>
      </c>
      <c r="G23" s="82">
        <v>12513</v>
      </c>
      <c r="H23" s="82">
        <v>12665</v>
      </c>
      <c r="I23" s="82">
        <v>13148</v>
      </c>
      <c r="J23" s="82">
        <v>11703</v>
      </c>
      <c r="K23" s="82">
        <v>10223</v>
      </c>
      <c r="L23" s="82">
        <v>10222</v>
      </c>
      <c r="M23" s="82">
        <v>12041</v>
      </c>
      <c r="N23" s="82">
        <v>13195</v>
      </c>
      <c r="O23" s="82">
        <v>13011</v>
      </c>
      <c r="P23" s="82">
        <v>13700</v>
      </c>
      <c r="Q23" s="82">
        <v>13512</v>
      </c>
      <c r="R23" s="82">
        <v>13073</v>
      </c>
      <c r="S23" s="82">
        <v>13689</v>
      </c>
      <c r="T23" s="82">
        <v>16048</v>
      </c>
      <c r="U23" s="82">
        <v>17242</v>
      </c>
      <c r="V23" s="82">
        <v>16755</v>
      </c>
    </row>
    <row r="24" spans="1:22">
      <c r="A24" t="s">
        <v>2</v>
      </c>
      <c r="D24" s="61"/>
      <c r="E24" s="82"/>
      <c r="F24" s="82"/>
      <c r="G24" s="82"/>
      <c r="H24" s="82"/>
      <c r="I24" s="82"/>
      <c r="J24" s="82"/>
      <c r="K24" s="82"/>
      <c r="L24" s="82"/>
      <c r="M24" s="82"/>
      <c r="N24" s="82"/>
      <c r="O24" s="82"/>
      <c r="P24" s="82"/>
      <c r="Q24" s="82"/>
      <c r="R24" s="82"/>
      <c r="S24" s="82"/>
      <c r="T24" s="82"/>
      <c r="U24" s="82"/>
      <c r="V24" s="82"/>
    </row>
    <row r="25" spans="1:22">
      <c r="B25" s="23" t="s">
        <v>123</v>
      </c>
      <c r="D25" s="61"/>
      <c r="E25" s="82"/>
      <c r="F25" s="82"/>
      <c r="G25" s="82"/>
      <c r="H25" s="82"/>
      <c r="I25" s="82"/>
      <c r="J25" s="82"/>
      <c r="K25" s="82"/>
      <c r="L25" s="82"/>
      <c r="M25" s="82"/>
      <c r="N25" s="82"/>
      <c r="O25" s="82"/>
      <c r="P25" s="82"/>
      <c r="Q25" s="82"/>
      <c r="R25" s="82"/>
      <c r="S25" s="82"/>
      <c r="T25" s="82"/>
      <c r="U25" s="82"/>
      <c r="V25" s="82"/>
    </row>
    <row r="26" spans="1:22">
      <c r="C26" s="24" t="s">
        <v>124</v>
      </c>
      <c r="D26" s="60" t="s">
        <v>47</v>
      </c>
      <c r="E26" s="82">
        <v>2582</v>
      </c>
      <c r="F26" s="82">
        <v>2763</v>
      </c>
      <c r="G26" s="82">
        <v>2584</v>
      </c>
      <c r="H26" s="82">
        <v>2429</v>
      </c>
      <c r="I26" s="82">
        <v>3108</v>
      </c>
      <c r="J26" s="82">
        <v>2217</v>
      </c>
      <c r="K26" s="82">
        <v>3061</v>
      </c>
      <c r="L26" s="82">
        <v>3168</v>
      </c>
      <c r="M26" s="82">
        <v>2941</v>
      </c>
      <c r="N26" s="82">
        <v>3057</v>
      </c>
      <c r="O26" s="82">
        <v>3110</v>
      </c>
      <c r="P26" s="82">
        <v>3034</v>
      </c>
      <c r="Q26" s="82">
        <v>3244</v>
      </c>
      <c r="R26" s="82">
        <v>3077</v>
      </c>
      <c r="S26" s="82">
        <v>2828</v>
      </c>
      <c r="T26" s="82">
        <v>3089</v>
      </c>
      <c r="U26" s="82">
        <v>3070</v>
      </c>
      <c r="V26" s="82" t="s">
        <v>211</v>
      </c>
    </row>
    <row r="27" spans="1:22">
      <c r="C27" s="24" t="s">
        <v>125</v>
      </c>
      <c r="D27" s="60" t="s">
        <v>47</v>
      </c>
      <c r="E27" s="82">
        <v>2980</v>
      </c>
      <c r="F27" s="82">
        <v>3185</v>
      </c>
      <c r="G27" s="82">
        <v>3033</v>
      </c>
      <c r="H27" s="82">
        <v>3306</v>
      </c>
      <c r="I27" s="82">
        <v>3593</v>
      </c>
      <c r="J27" s="82">
        <v>3705</v>
      </c>
      <c r="K27" s="82">
        <v>2801</v>
      </c>
      <c r="L27" s="82">
        <v>2904</v>
      </c>
      <c r="M27" s="82">
        <v>3409</v>
      </c>
      <c r="N27" s="82">
        <v>3513</v>
      </c>
      <c r="O27" s="82">
        <v>3565</v>
      </c>
      <c r="P27" s="82">
        <v>3610</v>
      </c>
      <c r="Q27" s="82">
        <v>3535</v>
      </c>
      <c r="R27" s="82">
        <v>3600</v>
      </c>
      <c r="S27" s="82">
        <v>3496</v>
      </c>
      <c r="T27" s="82">
        <v>3697</v>
      </c>
      <c r="U27" s="82">
        <v>3640</v>
      </c>
      <c r="V27" s="82" t="s">
        <v>211</v>
      </c>
    </row>
    <row r="28" spans="1:22">
      <c r="C28" s="24" t="s">
        <v>126</v>
      </c>
      <c r="D28" s="60" t="s">
        <v>47</v>
      </c>
      <c r="E28" s="82">
        <v>393</v>
      </c>
      <c r="F28" s="82">
        <v>260</v>
      </c>
      <c r="G28" s="82">
        <v>228</v>
      </c>
      <c r="H28" s="82">
        <v>167</v>
      </c>
      <c r="I28" s="82">
        <v>185</v>
      </c>
      <c r="J28" s="82">
        <v>185</v>
      </c>
      <c r="K28" s="82">
        <v>192</v>
      </c>
      <c r="L28" s="82">
        <v>145</v>
      </c>
      <c r="M28" s="82">
        <v>139</v>
      </c>
      <c r="N28" s="82">
        <v>121</v>
      </c>
      <c r="O28" s="82">
        <v>133</v>
      </c>
      <c r="P28" s="82">
        <v>129</v>
      </c>
      <c r="Q28" s="82">
        <v>168</v>
      </c>
      <c r="R28" s="82">
        <v>148</v>
      </c>
      <c r="S28" s="82">
        <v>116</v>
      </c>
      <c r="T28" s="82">
        <v>137</v>
      </c>
      <c r="U28" s="82">
        <v>143</v>
      </c>
      <c r="V28" s="82" t="s">
        <v>211</v>
      </c>
    </row>
    <row r="29" spans="1:22">
      <c r="C29" s="24" t="s">
        <v>127</v>
      </c>
      <c r="D29" s="60" t="s">
        <v>47</v>
      </c>
      <c r="E29" s="82">
        <v>1090</v>
      </c>
      <c r="F29" s="82">
        <v>1165</v>
      </c>
      <c r="G29" s="82">
        <v>682</v>
      </c>
      <c r="H29" s="82">
        <v>704</v>
      </c>
      <c r="I29" s="82">
        <v>973</v>
      </c>
      <c r="J29" s="82">
        <v>822</v>
      </c>
      <c r="K29" s="82">
        <v>865</v>
      </c>
      <c r="L29" s="82">
        <v>847</v>
      </c>
      <c r="M29" s="82">
        <v>783</v>
      </c>
      <c r="N29" s="82">
        <v>795</v>
      </c>
      <c r="O29" s="82" t="s">
        <v>211</v>
      </c>
      <c r="P29" s="82">
        <v>467</v>
      </c>
      <c r="Q29" s="82">
        <v>528</v>
      </c>
      <c r="R29" s="82">
        <v>358</v>
      </c>
      <c r="S29" s="82">
        <v>368</v>
      </c>
      <c r="T29" s="82">
        <v>424</v>
      </c>
      <c r="U29" s="82">
        <v>346</v>
      </c>
      <c r="V29" s="82" t="s">
        <v>211</v>
      </c>
    </row>
    <row r="30" spans="1:22">
      <c r="C30" s="24" t="s">
        <v>128</v>
      </c>
      <c r="D30" s="60" t="s">
        <v>47</v>
      </c>
      <c r="E30" s="82">
        <v>2175</v>
      </c>
      <c r="F30" s="82">
        <v>2147</v>
      </c>
      <c r="G30" s="82">
        <v>2235</v>
      </c>
      <c r="H30" s="82">
        <v>2237</v>
      </c>
      <c r="I30" s="82">
        <v>2389</v>
      </c>
      <c r="J30" s="82">
        <v>2297</v>
      </c>
      <c r="K30" s="82">
        <v>2267</v>
      </c>
      <c r="L30" s="82">
        <v>2173</v>
      </c>
      <c r="M30" s="82">
        <v>2209</v>
      </c>
      <c r="N30" s="82">
        <v>2200</v>
      </c>
      <c r="O30" s="82">
        <v>2020</v>
      </c>
      <c r="P30" s="82">
        <v>2193</v>
      </c>
      <c r="Q30" s="82">
        <v>2146</v>
      </c>
      <c r="R30" s="82">
        <v>2244</v>
      </c>
      <c r="S30" s="82">
        <v>2238</v>
      </c>
      <c r="T30" s="82">
        <v>2221</v>
      </c>
      <c r="U30" s="82">
        <v>2757</v>
      </c>
      <c r="V30" s="82" t="s">
        <v>211</v>
      </c>
    </row>
    <row r="31" spans="1:22">
      <c r="C31" s="24" t="s">
        <v>129</v>
      </c>
      <c r="D31" s="60" t="s">
        <v>47</v>
      </c>
      <c r="E31" s="82">
        <v>370</v>
      </c>
      <c r="F31" s="82">
        <v>383</v>
      </c>
      <c r="G31" s="82">
        <v>779</v>
      </c>
      <c r="H31" s="82">
        <v>815</v>
      </c>
      <c r="I31" s="82">
        <v>653</v>
      </c>
      <c r="J31" s="82">
        <v>460</v>
      </c>
      <c r="K31" s="82">
        <v>707</v>
      </c>
      <c r="L31" s="82">
        <v>551</v>
      </c>
      <c r="M31" s="82">
        <v>647</v>
      </c>
      <c r="N31" s="82">
        <v>793</v>
      </c>
      <c r="O31" s="82" t="s">
        <v>211</v>
      </c>
      <c r="P31" s="82">
        <v>722</v>
      </c>
      <c r="Q31" s="82">
        <v>906</v>
      </c>
      <c r="R31" s="82">
        <v>896</v>
      </c>
      <c r="S31" s="82">
        <v>794</v>
      </c>
      <c r="T31" s="82">
        <v>993</v>
      </c>
      <c r="U31" s="82">
        <v>965</v>
      </c>
      <c r="V31" s="82" t="s">
        <v>211</v>
      </c>
    </row>
    <row r="32" spans="1:22">
      <c r="C32" s="11" t="s">
        <v>230</v>
      </c>
      <c r="D32" s="60" t="s">
        <v>47</v>
      </c>
      <c r="E32" s="82">
        <v>9589</v>
      </c>
      <c r="F32" s="82">
        <v>9904</v>
      </c>
      <c r="G32" s="82">
        <v>9542</v>
      </c>
      <c r="H32" s="82">
        <v>9609</v>
      </c>
      <c r="I32" s="82">
        <v>10901</v>
      </c>
      <c r="J32" s="82">
        <v>9685</v>
      </c>
      <c r="K32" s="82">
        <v>9892</v>
      </c>
      <c r="L32" s="82">
        <v>9788</v>
      </c>
      <c r="M32" s="82">
        <v>10128</v>
      </c>
      <c r="N32" s="82">
        <v>10479</v>
      </c>
      <c r="O32" s="82">
        <v>9978</v>
      </c>
      <c r="P32" s="82">
        <v>10155</v>
      </c>
      <c r="Q32" s="82">
        <v>10527</v>
      </c>
      <c r="R32" s="82">
        <v>10322</v>
      </c>
      <c r="S32" s="82">
        <v>9839</v>
      </c>
      <c r="T32" s="82">
        <v>10561</v>
      </c>
      <c r="U32" s="82">
        <v>10921</v>
      </c>
      <c r="V32" s="82">
        <v>11303</v>
      </c>
    </row>
    <row r="33" spans="1:22">
      <c r="D33" s="61"/>
      <c r="E33" s="82"/>
      <c r="F33" s="82"/>
      <c r="G33" s="82"/>
      <c r="H33" s="82"/>
      <c r="I33" s="82"/>
      <c r="J33" s="82"/>
      <c r="K33" s="82"/>
      <c r="L33" s="82"/>
      <c r="M33" s="82"/>
      <c r="N33" s="82"/>
      <c r="O33" s="82"/>
      <c r="P33" s="82"/>
      <c r="Q33" s="82"/>
      <c r="R33" s="82"/>
      <c r="S33" s="82"/>
    </row>
    <row r="34" spans="1:22">
      <c r="B34" s="23" t="s">
        <v>130</v>
      </c>
      <c r="C34" s="24"/>
      <c r="D34" s="60" t="s">
        <v>47</v>
      </c>
      <c r="E34" s="82">
        <v>21178</v>
      </c>
      <c r="F34" s="82">
        <v>23003</v>
      </c>
      <c r="G34" s="82">
        <v>22055</v>
      </c>
      <c r="H34" s="82">
        <v>22274</v>
      </c>
      <c r="I34" s="82">
        <v>24049</v>
      </c>
      <c r="J34" s="82">
        <v>21388</v>
      </c>
      <c r="K34" s="82">
        <v>20115</v>
      </c>
      <c r="L34" s="82">
        <v>20010</v>
      </c>
      <c r="M34" s="82">
        <v>22169</v>
      </c>
      <c r="N34" s="82">
        <v>23674</v>
      </c>
      <c r="O34" s="82">
        <v>22989</v>
      </c>
      <c r="P34" s="82">
        <v>23855</v>
      </c>
      <c r="Q34" s="82">
        <v>24039</v>
      </c>
      <c r="R34" s="82">
        <v>23395</v>
      </c>
      <c r="S34" s="82">
        <v>23528</v>
      </c>
      <c r="T34" s="82">
        <v>26609</v>
      </c>
      <c r="U34" s="82">
        <v>28163</v>
      </c>
      <c r="V34" s="82">
        <v>28058</v>
      </c>
    </row>
    <row r="35" spans="1:22">
      <c r="A35" t="s">
        <v>2</v>
      </c>
      <c r="D35" s="61"/>
      <c r="E35" s="82"/>
      <c r="F35" s="82"/>
      <c r="G35" s="82"/>
      <c r="H35" s="82"/>
      <c r="I35" s="82"/>
      <c r="J35" s="82"/>
      <c r="K35" s="82"/>
      <c r="L35" s="82"/>
      <c r="M35" s="82"/>
      <c r="N35" s="82"/>
      <c r="O35" s="82"/>
      <c r="P35" s="82"/>
      <c r="Q35" s="82"/>
      <c r="R35" s="82"/>
      <c r="S35" s="82"/>
      <c r="T35" s="82"/>
      <c r="U35" s="82"/>
      <c r="V35" s="82"/>
    </row>
    <row r="36" spans="1:22">
      <c r="B36" s="23" t="s">
        <v>131</v>
      </c>
      <c r="D36" s="61"/>
      <c r="E36" s="82"/>
      <c r="F36" s="82"/>
      <c r="G36" s="82"/>
      <c r="H36" s="82"/>
      <c r="I36" s="82"/>
      <c r="J36" s="82"/>
      <c r="K36" s="82"/>
      <c r="L36" s="82"/>
      <c r="M36" s="82"/>
      <c r="N36" s="82"/>
      <c r="O36" s="82"/>
      <c r="P36" s="82"/>
      <c r="Q36" s="82"/>
      <c r="R36" s="82"/>
      <c r="S36" s="82"/>
    </row>
    <row r="37" spans="1:22">
      <c r="C37" s="24" t="s">
        <v>131</v>
      </c>
      <c r="D37" s="60" t="s">
        <v>47</v>
      </c>
      <c r="E37" s="82">
        <v>371155</v>
      </c>
      <c r="F37" s="82">
        <v>390579</v>
      </c>
      <c r="G37" s="82">
        <v>410430</v>
      </c>
      <c r="H37" s="82">
        <v>378793</v>
      </c>
      <c r="I37" s="82">
        <v>389181</v>
      </c>
      <c r="J37" s="82">
        <v>399232</v>
      </c>
      <c r="K37" s="82">
        <v>387537</v>
      </c>
      <c r="L37" s="82">
        <v>377425</v>
      </c>
      <c r="M37" s="82">
        <v>374024</v>
      </c>
      <c r="N37" s="82">
        <v>372089</v>
      </c>
      <c r="O37" s="82">
        <v>362390</v>
      </c>
      <c r="P37" s="82">
        <v>380721</v>
      </c>
      <c r="Q37" s="82">
        <v>403166</v>
      </c>
      <c r="R37" s="82">
        <v>414751</v>
      </c>
      <c r="S37" s="82">
        <v>418018</v>
      </c>
      <c r="T37" s="82">
        <v>459882</v>
      </c>
      <c r="U37" s="82">
        <v>505514</v>
      </c>
      <c r="V37" s="82">
        <v>514199</v>
      </c>
    </row>
    <row r="38" spans="1:22">
      <c r="A38" s="25"/>
      <c r="B38" s="25"/>
      <c r="C38" s="26" t="s">
        <v>132</v>
      </c>
      <c r="D38" s="62"/>
      <c r="E38" s="88">
        <v>5.7059718985329577E-2</v>
      </c>
      <c r="F38" s="88">
        <v>5.8894615429913026E-2</v>
      </c>
      <c r="G38" s="88">
        <v>5.3736325317350099E-2</v>
      </c>
      <c r="H38" s="88">
        <v>5.8802564989321342E-2</v>
      </c>
      <c r="I38" s="88">
        <v>6.1793869690452516E-2</v>
      </c>
      <c r="J38" s="88">
        <v>5.3572859890990705E-2</v>
      </c>
      <c r="K38" s="88">
        <v>5.1904721355638297E-2</v>
      </c>
      <c r="L38" s="88">
        <v>5.3017155726303236E-2</v>
      </c>
      <c r="M38" s="88">
        <v>5.9271597544542594E-2</v>
      </c>
      <c r="N38" s="88">
        <v>6.3624562940586799E-2</v>
      </c>
      <c r="O38" s="88">
        <v>6.3437180937663845E-2</v>
      </c>
      <c r="P38" s="88">
        <v>6.2657431557492232E-2</v>
      </c>
      <c r="Q38" s="88">
        <v>5.9625563663602582E-2</v>
      </c>
      <c r="R38" s="88">
        <v>5.6471195948653331E-2</v>
      </c>
      <c r="S38" s="88">
        <v>5.6820667129717534E-2</v>
      </c>
      <c r="T38" s="105">
        <v>5.7869625351206058E-2</v>
      </c>
      <c r="U38" s="105">
        <v>5.5711612339124139E-2</v>
      </c>
      <c r="V38" s="105">
        <v>5.4566422727387646E-2</v>
      </c>
    </row>
    <row r="39" spans="1:22" ht="71.25" customHeight="1">
      <c r="E39" s="167" t="s">
        <v>264</v>
      </c>
      <c r="F39" s="167"/>
      <c r="G39" s="167"/>
      <c r="H39" s="167"/>
      <c r="I39" s="167"/>
      <c r="J39" s="167"/>
      <c r="K39" s="167"/>
      <c r="L39" s="167"/>
      <c r="M39" s="167"/>
      <c r="N39" s="167"/>
      <c r="O39" s="167"/>
      <c r="P39" s="167"/>
      <c r="Q39" s="167"/>
      <c r="R39" s="167"/>
      <c r="S39" s="167"/>
      <c r="T39" s="167"/>
      <c r="U39" s="167"/>
      <c r="V39" s="167"/>
    </row>
    <row r="40" spans="1:22">
      <c r="A40" t="s">
        <v>2</v>
      </c>
    </row>
    <row r="41" spans="1:22">
      <c r="A41" t="s">
        <v>2</v>
      </c>
    </row>
    <row r="42" spans="1:22">
      <c r="A42" t="s">
        <v>2</v>
      </c>
    </row>
    <row r="43" spans="1:22">
      <c r="A43" t="s">
        <v>2</v>
      </c>
    </row>
    <row r="44" spans="1:22">
      <c r="A44" t="s">
        <v>2</v>
      </c>
    </row>
    <row r="45" spans="1:22">
      <c r="A45" t="s">
        <v>2</v>
      </c>
    </row>
    <row r="46" spans="1:22">
      <c r="A46" t="s">
        <v>2</v>
      </c>
    </row>
    <row r="47" spans="1:22">
      <c r="A47" t="s">
        <v>2</v>
      </c>
    </row>
    <row r="48" spans="1:22">
      <c r="A48" t="s">
        <v>2</v>
      </c>
    </row>
  </sheetData>
  <mergeCells count="2">
    <mergeCell ref="A2:T2"/>
    <mergeCell ref="E39:V39"/>
  </mergeCells>
  <phoneticPr fontId="14" type="noConversion"/>
  <conditionalFormatting sqref="E6:U8 E9:S13 T10:T13 U10:U14 E14:T14 E15:S15 E16:U32 E33:S33 E34:U35 E36:S36">
    <cfRule type="cellIs" dxfId="46" priority="6" operator="lessThan">
      <formula>0</formula>
    </cfRule>
  </conditionalFormatting>
  <conditionalFormatting sqref="E37:U38">
    <cfRule type="cellIs" dxfId="45" priority="3" operator="lessThan">
      <formula>0</formula>
    </cfRule>
  </conditionalFormatting>
  <conditionalFormatting sqref="V6:V8 V34:V35 V10:V14 V16:V32">
    <cfRule type="cellIs" dxfId="44" priority="2" operator="lessThan">
      <formula>0</formula>
    </cfRule>
  </conditionalFormatting>
  <conditionalFormatting sqref="V37:V38">
    <cfRule type="cellIs" dxfId="43" priority="1"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5DAA4-3668-4AAA-A307-1233C186EA9A}">
  <dimension ref="A1:U32"/>
  <sheetViews>
    <sheetView zoomScaleNormal="100" workbookViewId="0">
      <selection activeCell="AB11" sqref="AB11"/>
    </sheetView>
  </sheetViews>
  <sheetFormatPr defaultColWidth="9.26953125" defaultRowHeight="14.5"/>
  <cols>
    <col min="1" max="1" width="3" customWidth="1"/>
    <col min="2" max="2" width="16.7265625" bestFit="1" customWidth="1"/>
    <col min="3" max="3" width="4.7265625" bestFit="1" customWidth="1"/>
    <col min="4" max="18" width="7" bestFit="1" customWidth="1"/>
    <col min="19" max="21" width="6.81640625" customWidth="1"/>
  </cols>
  <sheetData>
    <row r="1" spans="1:21" ht="71.25" customHeight="1">
      <c r="A1" t="s">
        <v>2</v>
      </c>
    </row>
    <row r="2" spans="1:21" ht="21">
      <c r="A2" s="173" t="s">
        <v>261</v>
      </c>
      <c r="B2" s="173"/>
      <c r="C2" s="173"/>
      <c r="D2" s="173"/>
      <c r="E2" s="173"/>
      <c r="F2" s="173"/>
      <c r="G2" s="173"/>
      <c r="H2" s="173"/>
      <c r="I2" s="173"/>
      <c r="J2" s="173"/>
      <c r="K2" s="173"/>
      <c r="L2" s="173"/>
      <c r="M2" s="173"/>
      <c r="N2" s="173"/>
      <c r="O2" s="173"/>
      <c r="P2" s="173"/>
      <c r="Q2" s="173"/>
      <c r="R2" s="173"/>
      <c r="S2" s="173"/>
    </row>
    <row r="3" spans="1:21" s="21" customFormat="1" ht="12">
      <c r="A3" s="64" t="s">
        <v>38</v>
      </c>
      <c r="B3" s="64" t="s">
        <v>38</v>
      </c>
      <c r="C3" s="66" t="s">
        <v>37</v>
      </c>
      <c r="D3" s="64" t="s">
        <v>281</v>
      </c>
      <c r="E3" s="64" t="s">
        <v>282</v>
      </c>
      <c r="F3" s="64" t="s">
        <v>283</v>
      </c>
      <c r="G3" s="64" t="s">
        <v>284</v>
      </c>
      <c r="H3" s="64" t="s">
        <v>285</v>
      </c>
      <c r="I3" s="64" t="s">
        <v>286</v>
      </c>
      <c r="J3" s="64" t="s">
        <v>287</v>
      </c>
      <c r="K3" s="64" t="s">
        <v>288</v>
      </c>
      <c r="L3" s="64" t="s">
        <v>289</v>
      </c>
      <c r="M3" s="64" t="s">
        <v>290</v>
      </c>
      <c r="N3" s="64" t="s">
        <v>291</v>
      </c>
      <c r="O3" s="64" t="s">
        <v>292</v>
      </c>
      <c r="P3" s="64" t="s">
        <v>293</v>
      </c>
      <c r="Q3" s="64" t="s">
        <v>294</v>
      </c>
      <c r="R3" s="64" t="s">
        <v>295</v>
      </c>
      <c r="S3" s="64" t="s">
        <v>305</v>
      </c>
      <c r="T3" s="64" t="s">
        <v>313</v>
      </c>
      <c r="U3" s="64" t="s">
        <v>328</v>
      </c>
    </row>
    <row r="4" spans="1:21">
      <c r="A4" s="23" t="s">
        <v>122</v>
      </c>
      <c r="D4" s="21"/>
      <c r="E4" s="21"/>
      <c r="F4" s="21"/>
      <c r="G4" s="21"/>
      <c r="H4" s="21"/>
      <c r="I4" s="21"/>
      <c r="J4" s="21"/>
      <c r="K4" s="21"/>
      <c r="L4" s="21"/>
      <c r="M4" s="21"/>
      <c r="N4" s="21"/>
      <c r="O4" s="21"/>
      <c r="P4" s="21"/>
      <c r="Q4" s="21"/>
      <c r="R4" s="21"/>
    </row>
    <row r="5" spans="1:21">
      <c r="B5" s="24" t="s">
        <v>62</v>
      </c>
      <c r="C5" s="60" t="s">
        <v>47</v>
      </c>
      <c r="D5" s="82">
        <v>2908</v>
      </c>
      <c r="E5" s="82" t="s">
        <v>211</v>
      </c>
      <c r="F5" s="82">
        <v>3590</v>
      </c>
      <c r="G5" s="82">
        <v>3835</v>
      </c>
      <c r="H5" s="82">
        <v>3772</v>
      </c>
      <c r="I5" s="82">
        <v>3522</v>
      </c>
      <c r="J5" s="82">
        <v>3447</v>
      </c>
      <c r="K5" s="82">
        <v>3352</v>
      </c>
      <c r="L5" s="82">
        <v>3954</v>
      </c>
      <c r="M5" s="82">
        <v>4557</v>
      </c>
      <c r="N5" s="82">
        <v>4479</v>
      </c>
      <c r="O5" s="82">
        <v>4761</v>
      </c>
      <c r="P5" s="82">
        <v>4570</v>
      </c>
      <c r="Q5" s="82">
        <v>4394</v>
      </c>
      <c r="R5" s="82">
        <v>4750</v>
      </c>
      <c r="S5" s="82">
        <v>5417</v>
      </c>
      <c r="T5" s="82">
        <v>5778</v>
      </c>
      <c r="U5" s="82" t="s">
        <v>211</v>
      </c>
    </row>
    <row r="6" spans="1:21">
      <c r="B6" s="24" t="s">
        <v>63</v>
      </c>
      <c r="C6" s="60" t="s">
        <v>47</v>
      </c>
      <c r="D6" s="82">
        <v>3033</v>
      </c>
      <c r="E6" s="82" t="s">
        <v>211</v>
      </c>
      <c r="F6" s="82">
        <v>3201</v>
      </c>
      <c r="G6" s="82">
        <v>2887</v>
      </c>
      <c r="H6" s="82">
        <v>3354</v>
      </c>
      <c r="I6" s="82">
        <v>2781</v>
      </c>
      <c r="J6" s="82">
        <v>2603</v>
      </c>
      <c r="K6" s="82">
        <v>2541</v>
      </c>
      <c r="L6" s="82">
        <v>2991</v>
      </c>
      <c r="M6" s="82">
        <v>3365</v>
      </c>
      <c r="N6" s="82">
        <v>3460</v>
      </c>
      <c r="O6" s="82">
        <v>3583</v>
      </c>
      <c r="P6" s="82">
        <v>4055</v>
      </c>
      <c r="Q6" s="82">
        <v>3875</v>
      </c>
      <c r="R6" s="82">
        <v>3910</v>
      </c>
      <c r="S6" s="82">
        <v>4713</v>
      </c>
      <c r="T6" s="82">
        <v>4818</v>
      </c>
      <c r="U6" s="82" t="s">
        <v>211</v>
      </c>
    </row>
    <row r="7" spans="1:21">
      <c r="B7" s="24" t="s">
        <v>64</v>
      </c>
      <c r="C7" s="60" t="s">
        <v>47</v>
      </c>
      <c r="D7" s="82">
        <v>2501</v>
      </c>
      <c r="E7" s="82" t="s">
        <v>211</v>
      </c>
      <c r="F7" s="82">
        <v>2768</v>
      </c>
      <c r="G7" s="82">
        <v>2885</v>
      </c>
      <c r="H7" s="82">
        <v>2862</v>
      </c>
      <c r="I7" s="82">
        <v>2599</v>
      </c>
      <c r="J7" s="82">
        <v>2069</v>
      </c>
      <c r="K7" s="82">
        <v>2021</v>
      </c>
      <c r="L7" s="82">
        <v>2446</v>
      </c>
      <c r="M7" s="82">
        <v>2593</v>
      </c>
      <c r="N7" s="82">
        <v>2497</v>
      </c>
      <c r="O7" s="82">
        <v>2576</v>
      </c>
      <c r="P7" s="82">
        <v>2574</v>
      </c>
      <c r="Q7" s="82">
        <v>2410</v>
      </c>
      <c r="R7" s="82">
        <v>2534</v>
      </c>
      <c r="S7" s="82">
        <v>2959</v>
      </c>
      <c r="T7" s="82">
        <v>3603</v>
      </c>
      <c r="U7" s="82" t="s">
        <v>211</v>
      </c>
    </row>
    <row r="8" spans="1:21">
      <c r="B8" s="24" t="s">
        <v>65</v>
      </c>
      <c r="C8" s="60" t="s">
        <v>47</v>
      </c>
      <c r="D8" s="82">
        <v>1501</v>
      </c>
      <c r="E8" s="82" t="s">
        <v>211</v>
      </c>
      <c r="F8" s="82">
        <v>1048</v>
      </c>
      <c r="G8" s="82">
        <v>1161</v>
      </c>
      <c r="H8" s="82">
        <v>1181</v>
      </c>
      <c r="I8" s="82">
        <v>1087</v>
      </c>
      <c r="J8" s="82">
        <v>722</v>
      </c>
      <c r="K8" s="82">
        <v>879</v>
      </c>
      <c r="L8" s="82">
        <v>971</v>
      </c>
      <c r="M8" s="82">
        <v>978</v>
      </c>
      <c r="N8" s="82">
        <v>984</v>
      </c>
      <c r="O8" s="82">
        <v>1141</v>
      </c>
      <c r="P8" s="82">
        <v>706</v>
      </c>
      <c r="Q8" s="82">
        <v>739</v>
      </c>
      <c r="R8" s="82">
        <v>778</v>
      </c>
      <c r="S8" s="82">
        <v>861</v>
      </c>
      <c r="T8" s="82">
        <v>947</v>
      </c>
      <c r="U8" s="82" t="s">
        <v>211</v>
      </c>
    </row>
    <row r="9" spans="1:21">
      <c r="B9" s="24" t="s">
        <v>66</v>
      </c>
      <c r="C9" s="60" t="s">
        <v>47</v>
      </c>
      <c r="D9" s="82">
        <v>1016</v>
      </c>
      <c r="E9" s="82" t="s">
        <v>211</v>
      </c>
      <c r="F9" s="82">
        <v>1054</v>
      </c>
      <c r="G9" s="82">
        <v>1368</v>
      </c>
      <c r="H9" s="82">
        <v>1211</v>
      </c>
      <c r="I9" s="82">
        <v>1230</v>
      </c>
      <c r="J9" s="82">
        <v>996</v>
      </c>
      <c r="K9" s="82">
        <v>942</v>
      </c>
      <c r="L9" s="82">
        <v>1120</v>
      </c>
      <c r="M9" s="82">
        <v>1127</v>
      </c>
      <c r="N9" s="82">
        <v>1046</v>
      </c>
      <c r="O9" s="82">
        <v>1107</v>
      </c>
      <c r="P9" s="82">
        <v>1105</v>
      </c>
      <c r="Q9" s="82">
        <v>1126</v>
      </c>
      <c r="R9" s="82">
        <v>1161</v>
      </c>
      <c r="S9" s="82">
        <v>1442</v>
      </c>
      <c r="T9" s="82">
        <v>1438</v>
      </c>
      <c r="U9" s="82" t="s">
        <v>211</v>
      </c>
    </row>
    <row r="10" spans="1:21">
      <c r="B10" s="24" t="s">
        <v>67</v>
      </c>
      <c r="C10" s="60" t="s">
        <v>47</v>
      </c>
      <c r="D10" s="82">
        <v>678</v>
      </c>
      <c r="E10" s="82" t="s">
        <v>211</v>
      </c>
      <c r="F10" s="82">
        <v>684</v>
      </c>
      <c r="G10" s="82">
        <v>399</v>
      </c>
      <c r="H10" s="82">
        <v>616</v>
      </c>
      <c r="I10" s="82">
        <v>350</v>
      </c>
      <c r="J10" s="82">
        <v>256</v>
      </c>
      <c r="K10" s="82">
        <v>335</v>
      </c>
      <c r="L10" s="82">
        <v>381</v>
      </c>
      <c r="M10" s="82">
        <v>389</v>
      </c>
      <c r="N10" s="82">
        <v>374</v>
      </c>
      <c r="O10" s="82">
        <v>359</v>
      </c>
      <c r="P10" s="82">
        <v>326</v>
      </c>
      <c r="Q10" s="82">
        <v>343</v>
      </c>
      <c r="R10" s="82">
        <v>388</v>
      </c>
      <c r="S10" s="82">
        <v>479</v>
      </c>
      <c r="T10" s="82">
        <v>486</v>
      </c>
      <c r="U10" s="82" t="s">
        <v>211</v>
      </c>
    </row>
    <row r="11" spans="1:21">
      <c r="B11" s="24" t="s">
        <v>68</v>
      </c>
      <c r="C11" s="60" t="s">
        <v>47</v>
      </c>
      <c r="D11" s="82">
        <v>28</v>
      </c>
      <c r="E11" s="82" t="s">
        <v>211</v>
      </c>
      <c r="F11" s="82">
        <v>50</v>
      </c>
      <c r="G11" s="82">
        <v>50</v>
      </c>
      <c r="H11" s="82">
        <v>45</v>
      </c>
      <c r="I11" s="82" t="s">
        <v>211</v>
      </c>
      <c r="J11" s="82">
        <v>22</v>
      </c>
      <c r="K11" s="82">
        <v>23</v>
      </c>
      <c r="L11" s="82">
        <v>30</v>
      </c>
      <c r="M11" s="82" t="s">
        <v>211</v>
      </c>
      <c r="N11" s="82">
        <v>23</v>
      </c>
      <c r="O11" s="82">
        <v>18</v>
      </c>
      <c r="P11" s="82" t="s">
        <v>211</v>
      </c>
      <c r="Q11" s="82">
        <v>21</v>
      </c>
      <c r="R11" s="82">
        <v>29</v>
      </c>
      <c r="S11" s="82">
        <v>31</v>
      </c>
      <c r="T11" s="82">
        <v>31</v>
      </c>
      <c r="U11" s="82" t="s">
        <v>211</v>
      </c>
    </row>
    <row r="12" spans="1:21">
      <c r="B12" s="24" t="s">
        <v>69</v>
      </c>
      <c r="C12" s="60" t="s">
        <v>47</v>
      </c>
      <c r="D12" s="82">
        <v>109</v>
      </c>
      <c r="E12" s="82" t="s">
        <v>211</v>
      </c>
      <c r="F12" s="82">
        <v>103</v>
      </c>
      <c r="G12" s="82">
        <v>109</v>
      </c>
      <c r="H12" s="82">
        <v>108</v>
      </c>
      <c r="I12" s="82" t="s">
        <v>211</v>
      </c>
      <c r="J12" s="82">
        <v>107</v>
      </c>
      <c r="K12" s="82">
        <v>130</v>
      </c>
      <c r="L12" s="82">
        <v>147</v>
      </c>
      <c r="M12" s="82" t="s">
        <v>211</v>
      </c>
      <c r="N12" s="82">
        <v>148</v>
      </c>
      <c r="O12" s="82">
        <v>156</v>
      </c>
      <c r="P12" s="82" t="s">
        <v>211</v>
      </c>
      <c r="Q12" s="82">
        <v>164</v>
      </c>
      <c r="R12" s="82">
        <v>140</v>
      </c>
      <c r="S12" s="82">
        <v>149</v>
      </c>
      <c r="T12" s="82">
        <v>142</v>
      </c>
      <c r="U12" s="82" t="s">
        <v>211</v>
      </c>
    </row>
    <row r="13" spans="1:21">
      <c r="A13" t="s">
        <v>2</v>
      </c>
      <c r="C13" s="61"/>
      <c r="D13" s="82"/>
      <c r="E13" s="82"/>
      <c r="F13" s="82"/>
      <c r="G13" s="82"/>
      <c r="H13" s="82"/>
      <c r="I13" s="82"/>
      <c r="J13" s="82"/>
      <c r="K13" s="82"/>
      <c r="L13" s="82"/>
      <c r="M13" s="82"/>
      <c r="N13" s="82"/>
      <c r="O13" s="82"/>
      <c r="P13" s="82"/>
      <c r="Q13" s="82"/>
      <c r="R13" s="82"/>
      <c r="S13" s="82"/>
      <c r="T13" s="82"/>
      <c r="U13" s="82"/>
    </row>
    <row r="14" spans="1:21">
      <c r="A14" s="23" t="s">
        <v>134</v>
      </c>
      <c r="C14" s="61"/>
      <c r="D14" s="82"/>
      <c r="E14" s="82"/>
      <c r="F14" s="82"/>
      <c r="G14" s="82"/>
      <c r="H14" s="82"/>
      <c r="I14" s="82"/>
      <c r="J14" s="82"/>
      <c r="K14" s="82"/>
      <c r="L14" s="82"/>
      <c r="M14" s="82"/>
      <c r="N14" s="82"/>
      <c r="O14" s="82"/>
      <c r="P14" s="82"/>
      <c r="Q14" s="82"/>
      <c r="R14" s="82"/>
      <c r="S14" s="82"/>
      <c r="T14" s="82"/>
      <c r="U14" s="82"/>
    </row>
    <row r="15" spans="1:21">
      <c r="B15" s="24" t="s">
        <v>62</v>
      </c>
      <c r="C15" s="60" t="s">
        <v>47</v>
      </c>
      <c r="D15" s="82">
        <v>3560</v>
      </c>
      <c r="E15" s="82" t="s">
        <v>211</v>
      </c>
      <c r="F15" s="82">
        <v>2744</v>
      </c>
      <c r="G15" s="82">
        <v>2915</v>
      </c>
      <c r="H15" s="82">
        <v>4044</v>
      </c>
      <c r="I15" s="82">
        <v>3453</v>
      </c>
      <c r="J15" s="82">
        <v>3577</v>
      </c>
      <c r="K15" s="82">
        <v>3860</v>
      </c>
      <c r="L15" s="82">
        <v>3833</v>
      </c>
      <c r="M15" s="82">
        <v>4301</v>
      </c>
      <c r="N15" s="82">
        <v>4060</v>
      </c>
      <c r="O15" s="82">
        <v>3856</v>
      </c>
      <c r="P15" s="82">
        <v>3907</v>
      </c>
      <c r="Q15" s="82">
        <v>3902</v>
      </c>
      <c r="R15" s="82">
        <v>3633</v>
      </c>
      <c r="S15" s="82">
        <v>3878</v>
      </c>
      <c r="T15" s="82">
        <v>3909</v>
      </c>
      <c r="U15" s="82" t="s">
        <v>211</v>
      </c>
    </row>
    <row r="16" spans="1:21">
      <c r="B16" s="24" t="s">
        <v>63</v>
      </c>
      <c r="C16" s="60" t="s">
        <v>47</v>
      </c>
      <c r="D16" s="82">
        <v>3485</v>
      </c>
      <c r="E16" s="82" t="s">
        <v>211</v>
      </c>
      <c r="F16" s="82">
        <v>4442</v>
      </c>
      <c r="G16" s="82">
        <v>4400</v>
      </c>
      <c r="H16" s="82">
        <v>4434</v>
      </c>
      <c r="I16" s="82">
        <v>3752</v>
      </c>
      <c r="J16" s="82">
        <v>3820</v>
      </c>
      <c r="K16" s="82">
        <v>3556</v>
      </c>
      <c r="L16" s="82">
        <v>4020</v>
      </c>
      <c r="M16" s="82" t="s">
        <v>211</v>
      </c>
      <c r="N16" s="82">
        <v>3360</v>
      </c>
      <c r="O16" s="82" t="s">
        <v>211</v>
      </c>
      <c r="P16" s="82">
        <v>3802</v>
      </c>
      <c r="Q16" s="82">
        <v>3741</v>
      </c>
      <c r="R16" s="82">
        <v>3681</v>
      </c>
      <c r="S16" s="82">
        <v>4041</v>
      </c>
      <c r="T16" s="82">
        <v>4322</v>
      </c>
      <c r="U16" s="82" t="s">
        <v>211</v>
      </c>
    </row>
    <row r="17" spans="1:21">
      <c r="B17" s="24" t="s">
        <v>64</v>
      </c>
      <c r="C17" s="60" t="s">
        <v>47</v>
      </c>
      <c r="D17" s="82">
        <v>986</v>
      </c>
      <c r="E17" s="82" t="s">
        <v>211</v>
      </c>
      <c r="F17" s="82">
        <v>917</v>
      </c>
      <c r="G17" s="82">
        <v>1065</v>
      </c>
      <c r="H17" s="82">
        <v>1114</v>
      </c>
      <c r="I17" s="82" t="s">
        <v>211</v>
      </c>
      <c r="J17" s="82" t="s">
        <v>211</v>
      </c>
      <c r="K17" s="82">
        <v>1004</v>
      </c>
      <c r="L17" s="82">
        <v>914</v>
      </c>
      <c r="M17" s="82" t="s">
        <v>211</v>
      </c>
      <c r="N17" s="82" t="s">
        <v>211</v>
      </c>
      <c r="O17" s="82" t="s">
        <v>211</v>
      </c>
      <c r="P17" s="82">
        <v>1384</v>
      </c>
      <c r="Q17" s="82">
        <v>1346</v>
      </c>
      <c r="R17" s="82">
        <v>1246</v>
      </c>
      <c r="S17" s="82" t="s">
        <v>211</v>
      </c>
      <c r="T17" s="82">
        <v>1306</v>
      </c>
      <c r="U17" s="82" t="s">
        <v>211</v>
      </c>
    </row>
    <row r="18" spans="1:21">
      <c r="B18" s="24" t="s">
        <v>65</v>
      </c>
      <c r="C18" s="60" t="s">
        <v>47</v>
      </c>
      <c r="D18" s="82">
        <v>832</v>
      </c>
      <c r="E18" s="82" t="s">
        <v>211</v>
      </c>
      <c r="F18" s="82">
        <v>662</v>
      </c>
      <c r="G18" s="82">
        <v>632</v>
      </c>
      <c r="H18" s="82">
        <v>506</v>
      </c>
      <c r="I18" s="82" t="s">
        <v>211</v>
      </c>
      <c r="J18" s="82">
        <v>828</v>
      </c>
      <c r="K18" s="82">
        <v>811</v>
      </c>
      <c r="L18" s="82">
        <v>868</v>
      </c>
      <c r="M18" s="82">
        <v>978</v>
      </c>
      <c r="N18" s="82" t="s">
        <v>211</v>
      </c>
      <c r="O18" s="82" t="s">
        <v>211</v>
      </c>
      <c r="P18" s="82">
        <v>690</v>
      </c>
      <c r="Q18" s="82">
        <v>602</v>
      </c>
      <c r="R18" s="82">
        <v>604</v>
      </c>
      <c r="S18" s="82" t="s">
        <v>211</v>
      </c>
      <c r="T18" s="82">
        <v>616</v>
      </c>
      <c r="U18" s="82" t="s">
        <v>211</v>
      </c>
    </row>
    <row r="19" spans="1:21">
      <c r="B19" s="24" t="s">
        <v>66</v>
      </c>
      <c r="C19" s="60" t="s">
        <v>47</v>
      </c>
      <c r="D19" s="82">
        <v>387</v>
      </c>
      <c r="E19" s="82" t="s">
        <v>211</v>
      </c>
      <c r="F19" s="82" t="s">
        <v>211</v>
      </c>
      <c r="G19" s="82">
        <v>315</v>
      </c>
      <c r="H19" s="82" t="s">
        <v>211</v>
      </c>
      <c r="I19" s="82" t="s">
        <v>211</v>
      </c>
      <c r="J19" s="82">
        <v>348</v>
      </c>
      <c r="K19" s="82" t="s">
        <v>211</v>
      </c>
      <c r="L19" s="82" t="s">
        <v>211</v>
      </c>
      <c r="M19" s="82">
        <v>343</v>
      </c>
      <c r="N19" s="82" t="s">
        <v>211</v>
      </c>
      <c r="O19" s="82" t="s">
        <v>211</v>
      </c>
      <c r="P19" s="82">
        <v>393</v>
      </c>
      <c r="Q19" s="82">
        <v>403</v>
      </c>
      <c r="R19" s="82">
        <v>337</v>
      </c>
      <c r="S19" s="82">
        <v>362</v>
      </c>
      <c r="T19" s="82">
        <v>367</v>
      </c>
      <c r="U19" s="82" t="s">
        <v>211</v>
      </c>
    </row>
    <row r="20" spans="1:21">
      <c r="B20" s="24" t="s">
        <v>67</v>
      </c>
      <c r="C20" s="60" t="s">
        <v>47</v>
      </c>
      <c r="D20" s="82" t="s">
        <v>211</v>
      </c>
      <c r="E20" s="82" t="s">
        <v>211</v>
      </c>
      <c r="F20" s="82">
        <v>398</v>
      </c>
      <c r="G20" s="82">
        <v>273</v>
      </c>
      <c r="H20" s="82">
        <v>382</v>
      </c>
      <c r="I20" s="82">
        <v>356</v>
      </c>
      <c r="J20" s="82">
        <v>336</v>
      </c>
      <c r="K20" s="82" t="s">
        <v>211</v>
      </c>
      <c r="L20" s="82" t="s">
        <v>211</v>
      </c>
      <c r="M20" s="82" t="s">
        <v>211</v>
      </c>
      <c r="N20" s="82" t="s">
        <v>211</v>
      </c>
      <c r="O20" s="82" t="s">
        <v>211</v>
      </c>
      <c r="P20" s="82">
        <v>324</v>
      </c>
      <c r="Q20" s="82">
        <v>307</v>
      </c>
      <c r="R20" s="82">
        <v>298</v>
      </c>
      <c r="S20" s="82">
        <v>312</v>
      </c>
      <c r="T20" s="82" t="s">
        <v>211</v>
      </c>
      <c r="U20" s="82" t="s">
        <v>211</v>
      </c>
    </row>
    <row r="21" spans="1:21">
      <c r="B21" s="24" t="s">
        <v>68</v>
      </c>
      <c r="C21" s="60" t="s">
        <v>47</v>
      </c>
      <c r="D21" s="82" t="s">
        <v>211</v>
      </c>
      <c r="E21" s="82" t="s">
        <v>211</v>
      </c>
      <c r="F21" s="82" t="s">
        <v>211</v>
      </c>
      <c r="G21" s="82">
        <v>25</v>
      </c>
      <c r="H21" s="82">
        <v>24</v>
      </c>
      <c r="I21" s="82" t="s">
        <v>211</v>
      </c>
      <c r="J21" s="82" t="s">
        <v>211</v>
      </c>
      <c r="K21" s="82" t="s">
        <v>211</v>
      </c>
      <c r="L21" s="82" t="s">
        <v>211</v>
      </c>
      <c r="M21" s="82" t="s">
        <v>211</v>
      </c>
      <c r="N21" s="82" t="s">
        <v>211</v>
      </c>
      <c r="O21" s="82" t="s">
        <v>211</v>
      </c>
      <c r="P21" s="82" t="s">
        <v>211</v>
      </c>
      <c r="Q21" s="82">
        <v>12</v>
      </c>
      <c r="R21" s="82">
        <v>17</v>
      </c>
      <c r="S21" s="82" t="s">
        <v>211</v>
      </c>
      <c r="T21" s="82" t="s">
        <v>211</v>
      </c>
      <c r="U21" s="82" t="s">
        <v>211</v>
      </c>
    </row>
    <row r="22" spans="1:21">
      <c r="A22" s="25"/>
      <c r="B22" s="26" t="s">
        <v>69</v>
      </c>
      <c r="C22" s="62" t="s">
        <v>47</v>
      </c>
      <c r="D22" s="82" t="s">
        <v>211</v>
      </c>
      <c r="E22" s="82" t="s">
        <v>211</v>
      </c>
      <c r="F22" s="82" t="s">
        <v>211</v>
      </c>
      <c r="G22" s="82">
        <v>32</v>
      </c>
      <c r="H22" s="82" t="s">
        <v>211</v>
      </c>
      <c r="I22" s="82">
        <v>6</v>
      </c>
      <c r="J22" s="82">
        <v>19</v>
      </c>
      <c r="K22" s="82" t="s">
        <v>211</v>
      </c>
      <c r="L22" s="82" t="s">
        <v>211</v>
      </c>
      <c r="M22" s="82" t="s">
        <v>211</v>
      </c>
      <c r="N22" s="82" t="s">
        <v>211</v>
      </c>
      <c r="O22" s="82" t="s">
        <v>211</v>
      </c>
      <c r="P22" s="82" t="s">
        <v>211</v>
      </c>
      <c r="Q22" s="82">
        <v>9</v>
      </c>
      <c r="R22" s="82">
        <v>22</v>
      </c>
      <c r="S22" s="91" t="s">
        <v>211</v>
      </c>
      <c r="T22" s="91" t="s">
        <v>211</v>
      </c>
      <c r="U22" s="91" t="s">
        <v>211</v>
      </c>
    </row>
    <row r="23" spans="1:21" ht="57" customHeight="1">
      <c r="D23" s="174" t="s">
        <v>262</v>
      </c>
      <c r="E23" s="174"/>
      <c r="F23" s="174"/>
      <c r="G23" s="174"/>
      <c r="H23" s="174"/>
      <c r="I23" s="174"/>
      <c r="J23" s="174"/>
      <c r="K23" s="174"/>
      <c r="L23" s="174"/>
      <c r="M23" s="174"/>
      <c r="N23" s="174"/>
      <c r="O23" s="174"/>
      <c r="P23" s="174"/>
      <c r="Q23" s="174"/>
      <c r="R23" s="174"/>
      <c r="S23" s="174"/>
      <c r="T23" s="174"/>
      <c r="U23" s="174"/>
    </row>
    <row r="24" spans="1:21">
      <c r="A24" t="s">
        <v>2</v>
      </c>
    </row>
    <row r="25" spans="1:21">
      <c r="A25" t="s">
        <v>2</v>
      </c>
    </row>
    <row r="26" spans="1:21">
      <c r="A26" t="s">
        <v>2</v>
      </c>
      <c r="D26" s="33"/>
    </row>
    <row r="27" spans="1:21">
      <c r="A27" t="s">
        <v>2</v>
      </c>
    </row>
    <row r="28" spans="1:21">
      <c r="A28" t="s">
        <v>2</v>
      </c>
    </row>
    <row r="29" spans="1:21">
      <c r="A29" t="s">
        <v>2</v>
      </c>
    </row>
    <row r="30" spans="1:21">
      <c r="A30" t="s">
        <v>2</v>
      </c>
    </row>
    <row r="31" spans="1:21">
      <c r="A31" t="s">
        <v>2</v>
      </c>
    </row>
    <row r="32" spans="1:21">
      <c r="A32" t="s">
        <v>2</v>
      </c>
    </row>
  </sheetData>
  <mergeCells count="2">
    <mergeCell ref="A2:S2"/>
    <mergeCell ref="D23:U23"/>
  </mergeCells>
  <phoneticPr fontId="14" type="noConversion"/>
  <conditionalFormatting sqref="D5:T22">
    <cfRule type="cellIs" dxfId="42" priority="2" operator="lessThan">
      <formula>0</formula>
    </cfRule>
  </conditionalFormatting>
  <conditionalFormatting sqref="U5:U22">
    <cfRule type="cellIs" dxfId="41" priority="1"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4BAA1-0CBE-448A-97BD-EC2C573A1CB5}">
  <dimension ref="A1:Y55"/>
  <sheetViews>
    <sheetView zoomScaleNormal="100" workbookViewId="0">
      <selection activeCell="X28" sqref="X28"/>
    </sheetView>
  </sheetViews>
  <sheetFormatPr defaultColWidth="9.26953125" defaultRowHeight="14.5"/>
  <cols>
    <col min="1" max="1" width="3" customWidth="1"/>
    <col min="2" max="2" width="5.81640625" customWidth="1"/>
    <col min="3" max="3" width="46.453125" customWidth="1"/>
    <col min="4" max="4" width="4.7265625" bestFit="1" customWidth="1"/>
    <col min="5" max="8" width="7.26953125" bestFit="1" customWidth="1"/>
    <col min="9" max="22" width="7.54296875" bestFit="1" customWidth="1"/>
  </cols>
  <sheetData>
    <row r="1" spans="1:25" ht="71.25" customHeight="1">
      <c r="A1" t="s">
        <v>2</v>
      </c>
    </row>
    <row r="2" spans="1:25" ht="21">
      <c r="A2" s="162" t="s">
        <v>258</v>
      </c>
      <c r="B2" s="162"/>
      <c r="C2" s="162"/>
      <c r="D2" s="162"/>
      <c r="E2" s="162"/>
      <c r="F2" s="162"/>
      <c r="G2" s="162"/>
      <c r="H2" s="162"/>
      <c r="I2" s="162"/>
      <c r="J2" s="162"/>
      <c r="K2" s="162"/>
      <c r="L2" s="162"/>
      <c r="M2" s="162"/>
      <c r="N2" s="162"/>
      <c r="O2" s="162"/>
      <c r="P2" s="162"/>
      <c r="Q2" s="162"/>
      <c r="R2" s="162"/>
      <c r="S2" s="162"/>
      <c r="T2" s="162"/>
    </row>
    <row r="3" spans="1:25" s="21" customFormat="1" ht="12">
      <c r="A3" s="64" t="s">
        <v>38</v>
      </c>
      <c r="B3" s="64" t="s">
        <v>38</v>
      </c>
      <c r="C3" s="64" t="s">
        <v>38</v>
      </c>
      <c r="D3" s="66" t="s">
        <v>37</v>
      </c>
      <c r="E3" s="64" t="s">
        <v>281</v>
      </c>
      <c r="F3" s="64" t="s">
        <v>282</v>
      </c>
      <c r="G3" s="64" t="s">
        <v>283</v>
      </c>
      <c r="H3" s="64" t="s">
        <v>284</v>
      </c>
      <c r="I3" s="64" t="s">
        <v>285</v>
      </c>
      <c r="J3" s="64" t="s">
        <v>286</v>
      </c>
      <c r="K3" s="64" t="s">
        <v>287</v>
      </c>
      <c r="L3" s="64" t="s">
        <v>288</v>
      </c>
      <c r="M3" s="64" t="s">
        <v>289</v>
      </c>
      <c r="N3" s="64" t="s">
        <v>290</v>
      </c>
      <c r="O3" s="64" t="s">
        <v>291</v>
      </c>
      <c r="P3" s="64" t="s">
        <v>292</v>
      </c>
      <c r="Q3" s="64" t="s">
        <v>293</v>
      </c>
      <c r="R3" s="64" t="s">
        <v>294</v>
      </c>
      <c r="S3" s="64" t="s">
        <v>295</v>
      </c>
      <c r="T3" s="64" t="s">
        <v>305</v>
      </c>
      <c r="U3" s="64" t="s">
        <v>313</v>
      </c>
      <c r="V3" s="64" t="s">
        <v>328</v>
      </c>
    </row>
    <row r="5" spans="1:25">
      <c r="A5" s="22" t="s">
        <v>259</v>
      </c>
    </row>
    <row r="6" spans="1:25">
      <c r="B6" s="23" t="s">
        <v>110</v>
      </c>
      <c r="C6" s="24"/>
      <c r="D6" s="74" t="s">
        <v>304</v>
      </c>
      <c r="E6" s="81">
        <v>0.64400000000000002</v>
      </c>
      <c r="F6" s="81">
        <v>0.84</v>
      </c>
      <c r="G6" s="81">
        <v>0.94</v>
      </c>
      <c r="H6" s="81">
        <v>1.198</v>
      </c>
      <c r="I6" s="81">
        <v>1.2649999999999999</v>
      </c>
      <c r="J6" s="81">
        <v>1.05</v>
      </c>
      <c r="K6" s="81">
        <v>0.997</v>
      </c>
      <c r="L6" s="81">
        <v>1.34</v>
      </c>
      <c r="M6" s="81">
        <v>1.409</v>
      </c>
      <c r="N6" s="81">
        <v>1.532</v>
      </c>
      <c r="O6" s="81">
        <v>2.012</v>
      </c>
      <c r="P6" s="81">
        <v>1.6240000000000001</v>
      </c>
      <c r="Q6" s="81">
        <v>1.7869999999999999</v>
      </c>
      <c r="R6" s="81">
        <v>1.6180000000000001</v>
      </c>
      <c r="S6" s="81">
        <v>1.143</v>
      </c>
      <c r="T6" s="81">
        <v>1.403</v>
      </c>
      <c r="U6" s="81">
        <v>1.5429999999999999</v>
      </c>
      <c r="V6" s="81">
        <v>1.6</v>
      </c>
      <c r="W6" s="128"/>
      <c r="X6" s="128"/>
      <c r="Y6" s="128"/>
    </row>
    <row r="7" spans="1:25">
      <c r="A7" t="s">
        <v>2</v>
      </c>
      <c r="D7" s="75"/>
      <c r="E7" s="81"/>
      <c r="F7" s="81"/>
      <c r="G7" s="81"/>
      <c r="H7" s="81"/>
      <c r="I7" s="81"/>
      <c r="J7" s="81"/>
      <c r="K7" s="81"/>
      <c r="L7" s="81"/>
      <c r="M7" s="81"/>
      <c r="N7" s="81"/>
      <c r="O7" s="81"/>
      <c r="P7" s="81"/>
      <c r="Q7" s="81"/>
      <c r="R7" s="81"/>
      <c r="S7" s="81"/>
      <c r="T7" s="81"/>
      <c r="U7" s="81"/>
      <c r="V7" s="81"/>
    </row>
    <row r="8" spans="1:25">
      <c r="A8" s="23" t="s">
        <v>111</v>
      </c>
      <c r="D8" s="75"/>
      <c r="E8" s="81"/>
      <c r="F8" s="81"/>
      <c r="G8" s="81"/>
      <c r="H8" s="81"/>
      <c r="I8" s="81"/>
      <c r="J8" s="81"/>
      <c r="K8" s="81"/>
      <c r="L8" s="81"/>
      <c r="M8" s="81"/>
      <c r="N8" s="81"/>
      <c r="O8" s="81"/>
      <c r="P8" s="81"/>
      <c r="Q8" s="81"/>
      <c r="R8" s="81"/>
      <c r="S8" s="81"/>
      <c r="T8" s="81"/>
      <c r="U8" s="81"/>
      <c r="V8" s="81"/>
    </row>
    <row r="9" spans="1:25">
      <c r="B9" s="23" t="s">
        <v>112</v>
      </c>
      <c r="D9" s="75"/>
      <c r="E9" s="81"/>
      <c r="F9" s="81"/>
      <c r="G9" s="81"/>
      <c r="H9" s="81"/>
      <c r="I9" s="81"/>
      <c r="J9" s="81"/>
      <c r="K9" s="81"/>
      <c r="L9" s="81"/>
      <c r="M9" s="81"/>
      <c r="N9" s="81"/>
      <c r="O9" s="81"/>
      <c r="P9" s="81"/>
    </row>
    <row r="10" spans="1:25">
      <c r="C10" s="24" t="s">
        <v>113</v>
      </c>
      <c r="D10" s="74" t="s">
        <v>304</v>
      </c>
      <c r="E10" s="81">
        <v>0.52100000000000002</v>
      </c>
      <c r="F10" s="81">
        <v>0.53300000000000003</v>
      </c>
      <c r="G10" s="81">
        <v>0.49399999999999999</v>
      </c>
      <c r="H10" s="81">
        <v>0.45700000000000002</v>
      </c>
      <c r="I10" s="81">
        <v>0.46</v>
      </c>
      <c r="J10" s="81">
        <v>0.40200000000000002</v>
      </c>
      <c r="K10" s="81" t="s">
        <v>211</v>
      </c>
      <c r="L10" s="81" t="s">
        <v>211</v>
      </c>
      <c r="M10" s="81">
        <v>0.48</v>
      </c>
      <c r="N10" s="81" t="s">
        <v>211</v>
      </c>
      <c r="O10" s="81">
        <v>0.47699999999999998</v>
      </c>
      <c r="P10" s="81">
        <v>0.56799999999999995</v>
      </c>
      <c r="Q10" s="81">
        <v>0.58499999999999996</v>
      </c>
      <c r="R10" s="81">
        <v>0.56799999999999995</v>
      </c>
      <c r="S10" s="81">
        <v>0.53700000000000003</v>
      </c>
      <c r="T10" s="81">
        <v>0.68200000000000005</v>
      </c>
      <c r="U10" s="81">
        <v>0.751</v>
      </c>
      <c r="V10" s="81" t="s">
        <v>211</v>
      </c>
    </row>
    <row r="11" spans="1:25">
      <c r="C11" s="24" t="s">
        <v>114</v>
      </c>
      <c r="D11" s="74" t="s">
        <v>304</v>
      </c>
      <c r="E11" s="81">
        <v>0.22</v>
      </c>
      <c r="F11" s="81">
        <v>0.27</v>
      </c>
      <c r="G11" s="81">
        <v>0.27600000000000002</v>
      </c>
      <c r="H11" s="81">
        <v>0.216</v>
      </c>
      <c r="I11" s="81">
        <v>0.20699999999999999</v>
      </c>
      <c r="J11" s="81">
        <v>0.186</v>
      </c>
      <c r="K11" s="81" t="s">
        <v>211</v>
      </c>
      <c r="L11" s="81" t="s">
        <v>211</v>
      </c>
      <c r="M11" s="81">
        <v>5.6000000000000001E-2</v>
      </c>
      <c r="N11" s="81" t="s">
        <v>211</v>
      </c>
      <c r="O11" s="81">
        <v>0.1</v>
      </c>
      <c r="P11" s="81">
        <v>0.104</v>
      </c>
      <c r="Q11" s="81">
        <v>0.16200000000000001</v>
      </c>
      <c r="R11" s="81">
        <v>0.14899999999999999</v>
      </c>
      <c r="S11" s="81">
        <v>0.18</v>
      </c>
      <c r="T11" s="81">
        <v>0.13900000000000001</v>
      </c>
      <c r="U11" s="81">
        <v>0.16</v>
      </c>
      <c r="V11" s="81" t="s">
        <v>211</v>
      </c>
    </row>
    <row r="12" spans="1:25">
      <c r="C12" s="24" t="s">
        <v>115</v>
      </c>
      <c r="D12" s="74" t="s">
        <v>304</v>
      </c>
      <c r="E12" s="81">
        <v>0.83099999999999996</v>
      </c>
      <c r="F12" s="81">
        <v>0.93700000000000006</v>
      </c>
      <c r="G12" s="81">
        <v>0.70099999999999996</v>
      </c>
      <c r="H12" s="81">
        <v>0.63600000000000001</v>
      </c>
      <c r="I12" s="81">
        <v>0.63700000000000001</v>
      </c>
      <c r="J12" s="81">
        <v>0.57599999999999996</v>
      </c>
      <c r="K12" s="81">
        <v>0.54</v>
      </c>
      <c r="L12" s="81">
        <v>0.52</v>
      </c>
      <c r="M12" s="81">
        <v>0.61899999999999999</v>
      </c>
      <c r="N12" s="81">
        <v>0.623</v>
      </c>
      <c r="O12" s="81">
        <v>0.621</v>
      </c>
      <c r="P12" s="81">
        <v>0.70799999999999996</v>
      </c>
      <c r="Q12" s="81">
        <v>0.66500000000000004</v>
      </c>
      <c r="R12" s="81">
        <v>0.438</v>
      </c>
      <c r="S12" s="81">
        <v>0.59099999999999997</v>
      </c>
      <c r="T12" s="81">
        <v>0.82399999999999995</v>
      </c>
      <c r="U12" s="81">
        <v>0.91</v>
      </c>
      <c r="V12" s="81" t="s">
        <v>211</v>
      </c>
    </row>
    <row r="13" spans="1:25">
      <c r="C13" s="24" t="s">
        <v>43</v>
      </c>
      <c r="D13" s="74" t="s">
        <v>304</v>
      </c>
      <c r="E13" s="81">
        <v>1.5720000000000001</v>
      </c>
      <c r="F13" s="81">
        <v>1.74</v>
      </c>
      <c r="G13" s="81">
        <v>1.472</v>
      </c>
      <c r="H13" s="81">
        <v>1.31</v>
      </c>
      <c r="I13" s="81">
        <v>1.304</v>
      </c>
      <c r="J13" s="81">
        <v>1.1639999999999999</v>
      </c>
      <c r="K13" s="81">
        <v>1.0640000000000001</v>
      </c>
      <c r="L13" s="81">
        <v>1.002</v>
      </c>
      <c r="M13" s="81">
        <v>1.1539999999999999</v>
      </c>
      <c r="N13" s="81">
        <v>1.228</v>
      </c>
      <c r="O13" s="81">
        <v>1.198</v>
      </c>
      <c r="P13" s="81">
        <v>1.38</v>
      </c>
      <c r="Q13" s="81">
        <v>1.413</v>
      </c>
      <c r="R13" s="81">
        <v>1.155</v>
      </c>
      <c r="S13" s="81">
        <v>1.3089999999999999</v>
      </c>
      <c r="T13" s="81">
        <v>1.645</v>
      </c>
      <c r="U13" s="81">
        <v>1.821</v>
      </c>
      <c r="V13" s="81" t="s">
        <v>211</v>
      </c>
    </row>
    <row r="14" spans="1:25">
      <c r="A14" t="s">
        <v>2</v>
      </c>
      <c r="D14" s="61"/>
      <c r="E14" s="81"/>
      <c r="F14" s="81"/>
      <c r="G14" s="81"/>
      <c r="H14" s="81"/>
      <c r="I14" s="81"/>
      <c r="J14" s="81"/>
      <c r="K14" s="81"/>
      <c r="L14" s="81"/>
      <c r="M14" s="81"/>
      <c r="N14" s="81"/>
      <c r="O14" s="81"/>
      <c r="P14" s="81"/>
      <c r="Q14" s="81"/>
      <c r="R14" s="81"/>
      <c r="S14" s="81"/>
      <c r="T14" s="81"/>
      <c r="U14" s="81"/>
      <c r="V14" s="81"/>
    </row>
    <row r="15" spans="1:25">
      <c r="B15" s="23" t="s">
        <v>116</v>
      </c>
      <c r="D15" s="61"/>
      <c r="E15" s="81"/>
      <c r="F15" s="81"/>
      <c r="G15" s="81"/>
      <c r="H15" s="81"/>
      <c r="I15" s="81"/>
      <c r="J15" s="81"/>
      <c r="K15" s="81"/>
      <c r="L15" s="81"/>
      <c r="M15" s="81"/>
      <c r="N15" s="81"/>
      <c r="O15" s="81"/>
      <c r="P15" s="81"/>
      <c r="Q15" s="81"/>
      <c r="R15" s="81"/>
      <c r="S15" s="81"/>
      <c r="T15" s="81"/>
      <c r="U15" s="81"/>
      <c r="V15" s="81"/>
    </row>
    <row r="16" spans="1:25">
      <c r="C16" s="24" t="s">
        <v>117</v>
      </c>
      <c r="D16" s="74" t="s">
        <v>304</v>
      </c>
      <c r="E16" s="81">
        <v>3.5000000000000003E-2</v>
      </c>
      <c r="F16" s="81">
        <v>4.2000000000000003E-2</v>
      </c>
      <c r="G16" s="81">
        <v>4.8000000000000001E-2</v>
      </c>
      <c r="H16" s="81">
        <v>5.0999999999999997E-2</v>
      </c>
      <c r="I16" s="81">
        <v>0.104</v>
      </c>
      <c r="J16" s="81">
        <v>5.5E-2</v>
      </c>
      <c r="K16" s="81">
        <v>5.5E-2</v>
      </c>
      <c r="L16" s="81">
        <v>7.8E-2</v>
      </c>
      <c r="M16" s="81">
        <v>0.06</v>
      </c>
      <c r="N16" s="81">
        <v>7.6999999999999999E-2</v>
      </c>
      <c r="O16" s="81">
        <v>7.5999999999999998E-2</v>
      </c>
      <c r="P16" s="81">
        <v>0.113</v>
      </c>
      <c r="Q16" s="81">
        <v>0.126</v>
      </c>
      <c r="R16" s="81">
        <v>0.155</v>
      </c>
      <c r="S16" s="81">
        <v>0.151</v>
      </c>
      <c r="T16" s="81">
        <v>0.251</v>
      </c>
      <c r="U16" s="81">
        <v>0.28899999999999998</v>
      </c>
      <c r="V16" s="81" t="s">
        <v>211</v>
      </c>
    </row>
    <row r="17" spans="1:22">
      <c r="C17" s="24" t="s">
        <v>118</v>
      </c>
      <c r="D17" s="74" t="s">
        <v>304</v>
      </c>
      <c r="E17" s="81">
        <v>1.637</v>
      </c>
      <c r="F17" s="81">
        <v>1.8160000000000001</v>
      </c>
      <c r="G17" s="81">
        <v>1.8979999999999999</v>
      </c>
      <c r="H17" s="81">
        <v>2.028</v>
      </c>
      <c r="I17" s="81">
        <v>1.956</v>
      </c>
      <c r="J17" s="81">
        <v>1.9419999999999999</v>
      </c>
      <c r="K17" s="81">
        <v>1.6839999999999999</v>
      </c>
      <c r="L17" s="81">
        <v>1.833</v>
      </c>
      <c r="M17" s="81">
        <v>1.8580000000000001</v>
      </c>
      <c r="N17" s="81">
        <v>2.16</v>
      </c>
      <c r="O17" s="81">
        <v>2.1059999999999999</v>
      </c>
      <c r="P17" s="81">
        <v>2.4159999999999999</v>
      </c>
      <c r="Q17" s="81">
        <v>2.3239999999999998</v>
      </c>
      <c r="R17" s="81">
        <v>2.4239999999999999</v>
      </c>
      <c r="S17" s="81">
        <v>2.089</v>
      </c>
      <c r="T17" s="81">
        <v>2.7490000000000001</v>
      </c>
      <c r="U17" s="81">
        <v>3.5249999999999999</v>
      </c>
      <c r="V17" s="81" t="s">
        <v>211</v>
      </c>
    </row>
    <row r="18" spans="1:22">
      <c r="C18" s="24" t="s">
        <v>119</v>
      </c>
      <c r="D18" s="74" t="s">
        <v>304</v>
      </c>
      <c r="E18" s="81">
        <v>0.104</v>
      </c>
      <c r="F18" s="81">
        <v>0.124</v>
      </c>
      <c r="G18" s="81">
        <v>0.11799999999999999</v>
      </c>
      <c r="H18" s="81">
        <v>9.6000000000000002E-2</v>
      </c>
      <c r="I18" s="81">
        <v>0.106</v>
      </c>
      <c r="J18" s="81">
        <v>9.5000000000000001E-2</v>
      </c>
      <c r="K18" s="81">
        <v>0.09</v>
      </c>
      <c r="L18" s="81">
        <v>8.6999999999999994E-2</v>
      </c>
      <c r="M18" s="81">
        <v>7.6999999999999999E-2</v>
      </c>
      <c r="N18" s="81">
        <v>8.7999999999999995E-2</v>
      </c>
      <c r="O18" s="81">
        <v>8.5000000000000006E-2</v>
      </c>
      <c r="P18" s="81">
        <v>0.115</v>
      </c>
      <c r="Q18" s="81">
        <v>0.11799999999999999</v>
      </c>
      <c r="R18" s="81">
        <v>0.124</v>
      </c>
      <c r="S18" s="81">
        <v>0.127</v>
      </c>
      <c r="T18" s="81">
        <v>0.159</v>
      </c>
      <c r="U18" s="81">
        <v>0.185</v>
      </c>
      <c r="V18" s="81" t="s">
        <v>211</v>
      </c>
    </row>
    <row r="19" spans="1:22">
      <c r="C19" s="24" t="s">
        <v>120</v>
      </c>
      <c r="D19" s="74" t="s">
        <v>304</v>
      </c>
      <c r="E19" s="81">
        <v>0.38700000000000001</v>
      </c>
      <c r="F19" s="81">
        <v>0.36799999999999999</v>
      </c>
      <c r="G19" s="81">
        <v>0.32100000000000001</v>
      </c>
      <c r="H19" s="81">
        <v>0.379</v>
      </c>
      <c r="I19" s="81">
        <v>0.38400000000000001</v>
      </c>
      <c r="J19" s="81">
        <v>0.317</v>
      </c>
      <c r="K19" s="81">
        <v>0.29299999999999998</v>
      </c>
      <c r="L19" s="81">
        <v>0.33</v>
      </c>
      <c r="M19" s="81">
        <v>0.35</v>
      </c>
      <c r="N19" s="81">
        <v>0.38600000000000001</v>
      </c>
      <c r="O19" s="81">
        <v>0.35899999999999999</v>
      </c>
      <c r="P19" s="81">
        <v>0.33900000000000002</v>
      </c>
      <c r="Q19" s="81">
        <v>0.28499999999999998</v>
      </c>
      <c r="R19" s="81">
        <v>0.29199999999999998</v>
      </c>
      <c r="S19" s="81">
        <v>0.312</v>
      </c>
      <c r="T19" s="81">
        <v>0.36699999999999999</v>
      </c>
      <c r="U19" s="81">
        <v>0.371</v>
      </c>
      <c r="V19" s="81" t="s">
        <v>211</v>
      </c>
    </row>
    <row r="20" spans="1:22">
      <c r="C20" s="24" t="s">
        <v>121</v>
      </c>
      <c r="D20" s="74" t="s">
        <v>304</v>
      </c>
      <c r="E20" s="81">
        <v>0.28499999999999998</v>
      </c>
      <c r="F20" s="81">
        <v>0.33</v>
      </c>
      <c r="G20" s="81">
        <v>0.35499999999999998</v>
      </c>
      <c r="H20" s="81">
        <v>0.34799999999999998</v>
      </c>
      <c r="I20" s="81">
        <v>0.313</v>
      </c>
      <c r="J20" s="81">
        <v>0.3</v>
      </c>
      <c r="K20" s="81">
        <v>0.28799999999999998</v>
      </c>
      <c r="L20" s="81">
        <v>0.311</v>
      </c>
      <c r="M20" s="81">
        <v>0.29599999999999999</v>
      </c>
      <c r="N20" s="81">
        <v>0.34899999999999998</v>
      </c>
      <c r="O20" s="81">
        <v>0.318</v>
      </c>
      <c r="P20" s="81">
        <v>0.377</v>
      </c>
      <c r="Q20" s="81">
        <v>0.36399999999999999</v>
      </c>
      <c r="R20" s="81">
        <v>0.39600000000000002</v>
      </c>
      <c r="S20" s="81">
        <v>0.37</v>
      </c>
      <c r="T20" s="81">
        <v>0.54100000000000004</v>
      </c>
      <c r="U20" s="81">
        <v>0.68</v>
      </c>
      <c r="V20" s="81" t="s">
        <v>211</v>
      </c>
    </row>
    <row r="21" spans="1:22">
      <c r="C21" s="24" t="s">
        <v>43</v>
      </c>
      <c r="D21" s="74" t="s">
        <v>304</v>
      </c>
      <c r="E21" s="81">
        <v>2.448</v>
      </c>
      <c r="F21" s="81">
        <v>2.68</v>
      </c>
      <c r="G21" s="81">
        <v>2.74</v>
      </c>
      <c r="H21" s="81">
        <v>2.9020000000000001</v>
      </c>
      <c r="I21" s="81">
        <v>2.8620000000000001</v>
      </c>
      <c r="J21" s="81">
        <v>2.7090000000000001</v>
      </c>
      <c r="K21" s="81">
        <v>2.411</v>
      </c>
      <c r="L21" s="81">
        <v>2.6389999999999998</v>
      </c>
      <c r="M21" s="81">
        <v>2.64</v>
      </c>
      <c r="N21" s="81">
        <v>3.06</v>
      </c>
      <c r="O21" s="81">
        <v>2.944</v>
      </c>
      <c r="P21" s="81">
        <v>3.36</v>
      </c>
      <c r="Q21" s="81">
        <v>3.2160000000000002</v>
      </c>
      <c r="R21" s="81">
        <v>3.39</v>
      </c>
      <c r="S21" s="81">
        <v>3.048</v>
      </c>
      <c r="T21" s="81">
        <v>4.0679999999999996</v>
      </c>
      <c r="U21" s="81">
        <v>5.0490000000000004</v>
      </c>
      <c r="V21" s="81" t="s">
        <v>211</v>
      </c>
    </row>
    <row r="22" spans="1:22">
      <c r="D22" s="61"/>
      <c r="E22" s="81"/>
      <c r="F22" s="81"/>
      <c r="G22" s="81"/>
      <c r="H22" s="81"/>
      <c r="I22" s="81"/>
      <c r="J22" s="81"/>
      <c r="K22" s="81"/>
      <c r="L22" s="81"/>
      <c r="M22" s="81"/>
      <c r="N22" s="81"/>
      <c r="O22" s="81"/>
      <c r="P22" s="81"/>
    </row>
    <row r="23" spans="1:22">
      <c r="B23" s="23" t="s">
        <v>122</v>
      </c>
      <c r="C23" s="24"/>
      <c r="D23" s="74" t="s">
        <v>304</v>
      </c>
      <c r="E23" s="81">
        <v>4.0199999999999996</v>
      </c>
      <c r="F23" s="81">
        <v>4.3959999999999999</v>
      </c>
      <c r="G23" s="81">
        <v>4.2030000000000003</v>
      </c>
      <c r="H23" s="81">
        <v>4.2610000000000001</v>
      </c>
      <c r="I23" s="81">
        <v>4.1660000000000004</v>
      </c>
      <c r="J23" s="81">
        <v>3.8740000000000001</v>
      </c>
      <c r="K23" s="81">
        <v>3.4750000000000001</v>
      </c>
      <c r="L23" s="81">
        <v>3.64</v>
      </c>
      <c r="M23" s="81">
        <v>3.794</v>
      </c>
      <c r="N23" s="81">
        <v>4.2880000000000003</v>
      </c>
      <c r="O23" s="81">
        <v>4.1429999999999998</v>
      </c>
      <c r="P23" s="81">
        <v>4.7389999999999999</v>
      </c>
      <c r="Q23" s="81">
        <v>4.6289999999999996</v>
      </c>
      <c r="R23" s="81">
        <v>4.5449999999999999</v>
      </c>
      <c r="S23" s="81">
        <v>4.3570000000000002</v>
      </c>
      <c r="T23" s="81">
        <v>5.7119999999999997</v>
      </c>
      <c r="U23" s="81">
        <v>6.87</v>
      </c>
      <c r="V23" s="81">
        <v>6.375</v>
      </c>
    </row>
    <row r="24" spans="1:22">
      <c r="A24" t="s">
        <v>2</v>
      </c>
      <c r="D24" s="61"/>
      <c r="E24" s="81"/>
      <c r="F24" s="81"/>
      <c r="G24" s="81"/>
      <c r="H24" s="81"/>
      <c r="I24" s="81"/>
      <c r="J24" s="81"/>
      <c r="K24" s="81"/>
      <c r="L24" s="81"/>
      <c r="M24" s="81"/>
      <c r="N24" s="81"/>
      <c r="O24" s="81"/>
      <c r="P24" s="81"/>
    </row>
    <row r="25" spans="1:22">
      <c r="B25" s="23" t="s">
        <v>135</v>
      </c>
      <c r="D25" s="61"/>
      <c r="E25" s="81"/>
      <c r="F25" s="81"/>
      <c r="G25" s="81"/>
      <c r="H25" s="81"/>
      <c r="I25" s="81"/>
      <c r="J25" s="81"/>
      <c r="K25" s="81"/>
      <c r="L25" s="81"/>
      <c r="M25" s="81"/>
      <c r="N25" s="81"/>
      <c r="O25" s="81"/>
      <c r="P25" s="81"/>
      <c r="Q25" s="81"/>
      <c r="R25" s="81"/>
      <c r="S25" s="81"/>
      <c r="T25" s="81"/>
      <c r="U25" s="81"/>
      <c r="V25" s="81"/>
    </row>
    <row r="26" spans="1:22">
      <c r="C26" s="24" t="s">
        <v>124</v>
      </c>
      <c r="D26" s="74" t="s">
        <v>304</v>
      </c>
      <c r="E26" s="81">
        <v>0.64800000000000002</v>
      </c>
      <c r="F26" s="81">
        <v>0.67100000000000004</v>
      </c>
      <c r="G26" s="81">
        <v>0.53800000000000003</v>
      </c>
      <c r="H26" s="81">
        <v>0.433</v>
      </c>
      <c r="I26" s="81">
        <v>0.45500000000000002</v>
      </c>
      <c r="J26" s="81">
        <v>0.38800000000000001</v>
      </c>
      <c r="K26" s="81">
        <v>0.71799999999999997</v>
      </c>
      <c r="L26" s="81">
        <v>0.78900000000000003</v>
      </c>
      <c r="M26" s="81">
        <v>0.76900000000000002</v>
      </c>
      <c r="N26" s="81">
        <v>0.77800000000000002</v>
      </c>
      <c r="O26" s="81">
        <v>0.81100000000000005</v>
      </c>
      <c r="P26" s="81">
        <v>0.83499999999999996</v>
      </c>
      <c r="Q26" s="81">
        <v>0.90600000000000003</v>
      </c>
      <c r="R26" s="81">
        <v>0.747</v>
      </c>
      <c r="S26" s="81">
        <v>0.69199999999999995</v>
      </c>
      <c r="T26" s="81">
        <v>0.65400000000000003</v>
      </c>
      <c r="U26" s="81">
        <v>0.80600000000000005</v>
      </c>
      <c r="V26" s="81" t="s">
        <v>211</v>
      </c>
    </row>
    <row r="27" spans="1:22">
      <c r="C27" s="24" t="s">
        <v>125</v>
      </c>
      <c r="D27" s="74" t="s">
        <v>304</v>
      </c>
      <c r="E27" s="81">
        <v>0.89800000000000002</v>
      </c>
      <c r="F27" s="81">
        <v>1.0720000000000001</v>
      </c>
      <c r="G27" s="81">
        <v>0.92400000000000004</v>
      </c>
      <c r="H27" s="81">
        <v>0.97499999999999998</v>
      </c>
      <c r="I27" s="81">
        <v>1.095</v>
      </c>
      <c r="J27" s="81">
        <v>1.006</v>
      </c>
      <c r="K27" s="81">
        <v>0.745</v>
      </c>
      <c r="L27" s="81">
        <v>0.83299999999999996</v>
      </c>
      <c r="M27" s="81">
        <v>0.88200000000000001</v>
      </c>
      <c r="N27" s="81">
        <v>0.74399999999999999</v>
      </c>
      <c r="O27" s="81">
        <v>0.85299999999999998</v>
      </c>
      <c r="P27" s="81">
        <v>0.88400000000000001</v>
      </c>
      <c r="Q27" s="81">
        <v>0.91200000000000003</v>
      </c>
      <c r="R27" s="81">
        <v>0.86599999999999999</v>
      </c>
      <c r="S27" s="81">
        <v>0.88300000000000001</v>
      </c>
      <c r="T27" s="81">
        <v>0.93200000000000005</v>
      </c>
      <c r="U27" s="81">
        <v>0.89800000000000002</v>
      </c>
      <c r="V27" s="81" t="s">
        <v>211</v>
      </c>
    </row>
    <row r="28" spans="1:22">
      <c r="C28" s="24" t="s">
        <v>126</v>
      </c>
      <c r="D28" s="74" t="s">
        <v>304</v>
      </c>
      <c r="E28" s="81">
        <v>0.112</v>
      </c>
      <c r="F28" s="81">
        <v>7.8E-2</v>
      </c>
      <c r="G28" s="81">
        <v>8.5000000000000006E-2</v>
      </c>
      <c r="H28" s="81">
        <v>5.2999999999999999E-2</v>
      </c>
      <c r="I28" s="81">
        <v>5.7000000000000002E-2</v>
      </c>
      <c r="J28" s="81">
        <v>5.1999999999999998E-2</v>
      </c>
      <c r="K28" s="81">
        <v>5.8000000000000003E-2</v>
      </c>
      <c r="L28" s="81">
        <v>0.04</v>
      </c>
      <c r="M28" s="81">
        <v>4.7E-2</v>
      </c>
      <c r="N28" s="81">
        <v>4.1000000000000002E-2</v>
      </c>
      <c r="O28" s="81">
        <v>4.3999999999999997E-2</v>
      </c>
      <c r="P28" s="81">
        <v>4.4999999999999998E-2</v>
      </c>
      <c r="Q28" s="81">
        <v>4.4999999999999998E-2</v>
      </c>
      <c r="R28" s="81">
        <v>4.9000000000000002E-2</v>
      </c>
      <c r="S28" s="81">
        <v>5.7000000000000002E-2</v>
      </c>
      <c r="T28" s="81">
        <v>5.8999999999999997E-2</v>
      </c>
      <c r="U28" s="81">
        <v>6.5000000000000002E-2</v>
      </c>
      <c r="V28" s="81" t="s">
        <v>211</v>
      </c>
    </row>
    <row r="29" spans="1:22">
      <c r="C29" s="24" t="s">
        <v>127</v>
      </c>
      <c r="D29" s="74" t="s">
        <v>304</v>
      </c>
      <c r="E29" s="81">
        <v>0.33400000000000002</v>
      </c>
      <c r="F29" s="81">
        <v>0.35399999999999998</v>
      </c>
      <c r="G29" s="81">
        <v>0.28299999999999997</v>
      </c>
      <c r="H29" s="81">
        <v>0.251</v>
      </c>
      <c r="I29" s="81">
        <v>0.28799999999999998</v>
      </c>
      <c r="J29" s="81">
        <v>0.22600000000000001</v>
      </c>
      <c r="K29" s="81">
        <v>0.19900000000000001</v>
      </c>
      <c r="L29" s="81">
        <v>0.221</v>
      </c>
      <c r="M29" s="81">
        <v>0.187</v>
      </c>
      <c r="N29" s="81">
        <v>0.17399999999999999</v>
      </c>
      <c r="O29" s="81">
        <v>0.14699999999999999</v>
      </c>
      <c r="P29" s="81">
        <v>0.125</v>
      </c>
      <c r="Q29" s="81">
        <v>0.155</v>
      </c>
      <c r="R29" s="81">
        <v>9.5000000000000001E-2</v>
      </c>
      <c r="S29" s="81">
        <v>0.126</v>
      </c>
      <c r="T29" s="81">
        <v>0.13200000000000001</v>
      </c>
      <c r="U29" s="81">
        <v>0.13900000000000001</v>
      </c>
      <c r="V29" s="81" t="s">
        <v>211</v>
      </c>
    </row>
    <row r="30" spans="1:22">
      <c r="C30" s="24" t="s">
        <v>128</v>
      </c>
      <c r="D30" s="74" t="s">
        <v>304</v>
      </c>
      <c r="E30" s="81">
        <v>0.65200000000000002</v>
      </c>
      <c r="F30" s="81">
        <v>0.66700000000000004</v>
      </c>
      <c r="G30" s="81">
        <v>0.76100000000000001</v>
      </c>
      <c r="H30" s="81">
        <v>0.73099999999999998</v>
      </c>
      <c r="I30" s="81">
        <v>0.77100000000000002</v>
      </c>
      <c r="J30" s="81">
        <v>0.59699999999999998</v>
      </c>
      <c r="K30" s="81">
        <v>0.61899999999999999</v>
      </c>
      <c r="L30" s="81">
        <v>0.67</v>
      </c>
      <c r="M30" s="81">
        <v>0.63</v>
      </c>
      <c r="N30" s="81">
        <v>0.59799999999999998</v>
      </c>
      <c r="O30" s="81">
        <v>0.499</v>
      </c>
      <c r="P30" s="81">
        <v>0.59299999999999997</v>
      </c>
      <c r="Q30" s="81">
        <v>0.498</v>
      </c>
      <c r="R30" s="81">
        <v>0.5</v>
      </c>
      <c r="S30" s="81">
        <v>0.46300000000000002</v>
      </c>
      <c r="T30" s="81">
        <v>0.503</v>
      </c>
      <c r="U30" s="81">
        <v>0.66100000000000003</v>
      </c>
      <c r="V30" s="81" t="s">
        <v>211</v>
      </c>
    </row>
    <row r="31" spans="1:22">
      <c r="C31" s="24" t="s">
        <v>129</v>
      </c>
      <c r="D31" s="74" t="s">
        <v>304</v>
      </c>
      <c r="E31" s="81">
        <v>0.11</v>
      </c>
      <c r="F31" s="81">
        <v>0.11</v>
      </c>
      <c r="G31" s="81">
        <v>0.251</v>
      </c>
      <c r="H31" s="81">
        <v>0.19</v>
      </c>
      <c r="I31" s="81">
        <v>0.193</v>
      </c>
      <c r="J31" s="81">
        <v>0.154</v>
      </c>
      <c r="K31" s="81">
        <v>0.19500000000000001</v>
      </c>
      <c r="L31" s="81">
        <v>0.18</v>
      </c>
      <c r="M31" s="81">
        <v>0.19600000000000001</v>
      </c>
      <c r="N31" s="81">
        <v>0.23599999999999999</v>
      </c>
      <c r="O31" s="81">
        <v>0.19400000000000001</v>
      </c>
      <c r="P31" s="81">
        <v>0.20599999999999999</v>
      </c>
      <c r="Q31" s="81">
        <v>0.26600000000000001</v>
      </c>
      <c r="R31" s="81">
        <v>0.255</v>
      </c>
      <c r="S31" s="81">
        <v>0.312</v>
      </c>
      <c r="T31" s="81">
        <v>0.32700000000000001</v>
      </c>
      <c r="U31" s="81">
        <v>0.312</v>
      </c>
      <c r="V31" s="81" t="s">
        <v>211</v>
      </c>
    </row>
    <row r="32" spans="1:22">
      <c r="C32" s="24" t="s">
        <v>43</v>
      </c>
      <c r="D32" s="74" t="s">
        <v>304</v>
      </c>
      <c r="E32" s="81">
        <v>2.7549999999999999</v>
      </c>
      <c r="F32" s="81">
        <v>2.9350000000000001</v>
      </c>
      <c r="G32" s="81">
        <v>2.7690000000000001</v>
      </c>
      <c r="H32" s="81">
        <v>2.6019999999999999</v>
      </c>
      <c r="I32" s="81">
        <v>2.8580000000000001</v>
      </c>
      <c r="J32" s="81">
        <v>2.423</v>
      </c>
      <c r="K32" s="81">
        <v>2.5339999999999998</v>
      </c>
      <c r="L32" s="81">
        <v>2.7330000000000001</v>
      </c>
      <c r="M32" s="81">
        <v>2.71</v>
      </c>
      <c r="N32" s="81">
        <v>2.5710000000000002</v>
      </c>
      <c r="O32" s="81">
        <v>2.5489999999999999</v>
      </c>
      <c r="P32" s="81">
        <v>2.6890000000000001</v>
      </c>
      <c r="Q32" s="81">
        <v>2.7810000000000001</v>
      </c>
      <c r="R32" s="81">
        <v>2.5129999999999999</v>
      </c>
      <c r="S32" s="81">
        <v>2.5329999999999999</v>
      </c>
      <c r="T32" s="81">
        <v>2.6070000000000002</v>
      </c>
      <c r="U32" s="81">
        <v>2.8820000000000001</v>
      </c>
      <c r="V32" s="81">
        <v>2.8450000000000002</v>
      </c>
    </row>
    <row r="33" spans="1:22">
      <c r="D33" s="61"/>
      <c r="E33" s="81"/>
      <c r="F33" s="81"/>
      <c r="G33" s="81"/>
      <c r="H33" s="81"/>
      <c r="I33" s="81"/>
      <c r="J33" s="81"/>
      <c r="K33" s="81"/>
      <c r="L33" s="81"/>
      <c r="M33" s="81"/>
      <c r="N33" s="81"/>
      <c r="O33" s="81"/>
      <c r="P33" s="81"/>
    </row>
    <row r="34" spans="1:22">
      <c r="B34" s="22" t="s">
        <v>256</v>
      </c>
      <c r="C34" s="24"/>
      <c r="D34" s="74" t="s">
        <v>304</v>
      </c>
      <c r="E34" s="81">
        <v>6.7750000000000004</v>
      </c>
      <c r="F34" s="81">
        <v>7.3310000000000004</v>
      </c>
      <c r="G34" s="81">
        <v>6.9720000000000004</v>
      </c>
      <c r="H34" s="81">
        <v>6.8630000000000004</v>
      </c>
      <c r="I34" s="81">
        <v>7.024</v>
      </c>
      <c r="J34" s="81">
        <v>6.2969999999999997</v>
      </c>
      <c r="K34" s="81">
        <v>6.0090000000000003</v>
      </c>
      <c r="L34" s="81">
        <v>6.3730000000000002</v>
      </c>
      <c r="M34" s="81">
        <v>6.5039999999999996</v>
      </c>
      <c r="N34" s="81">
        <v>6.859</v>
      </c>
      <c r="O34" s="81">
        <v>6.6920000000000002</v>
      </c>
      <c r="P34" s="81">
        <v>7.4279999999999999</v>
      </c>
      <c r="Q34" s="81">
        <v>7.41</v>
      </c>
      <c r="R34" s="81">
        <v>7.0579999999999998</v>
      </c>
      <c r="S34" s="81">
        <v>6.89</v>
      </c>
      <c r="T34" s="81">
        <v>8.3190000000000008</v>
      </c>
      <c r="U34" s="81">
        <v>9.7520000000000007</v>
      </c>
      <c r="V34" s="81">
        <v>9.2200000000000006</v>
      </c>
    </row>
    <row r="35" spans="1:22">
      <c r="A35" t="s">
        <v>2</v>
      </c>
      <c r="D35" s="61"/>
      <c r="E35" s="81"/>
      <c r="F35" s="81"/>
      <c r="G35" s="81"/>
      <c r="H35" s="81"/>
      <c r="I35" s="81"/>
      <c r="J35" s="81"/>
      <c r="K35" s="81"/>
      <c r="L35" s="81"/>
      <c r="M35" s="81"/>
      <c r="N35" s="81"/>
      <c r="O35" s="81"/>
      <c r="P35" s="81"/>
      <c r="Q35" s="81"/>
      <c r="R35" s="81"/>
      <c r="S35" s="81"/>
      <c r="T35" s="81"/>
      <c r="U35" s="81"/>
      <c r="V35" s="81"/>
    </row>
    <row r="36" spans="1:22">
      <c r="B36" s="23" t="s">
        <v>131</v>
      </c>
      <c r="D36" s="61"/>
      <c r="E36" s="81"/>
      <c r="F36" s="81"/>
      <c r="G36" s="81"/>
      <c r="H36" s="81"/>
      <c r="I36" s="81"/>
      <c r="J36" s="81"/>
      <c r="K36" s="81"/>
      <c r="L36" s="81"/>
      <c r="M36" s="81"/>
      <c r="N36" s="81"/>
      <c r="O36" s="81"/>
      <c r="P36" s="81"/>
      <c r="Q36" s="81"/>
      <c r="R36" s="81"/>
      <c r="S36" s="81"/>
      <c r="T36" s="81"/>
      <c r="U36" s="81"/>
      <c r="V36" s="81"/>
    </row>
    <row r="37" spans="1:22">
      <c r="C37" s="24" t="s">
        <v>131</v>
      </c>
      <c r="D37" s="74" t="s">
        <v>304</v>
      </c>
      <c r="E37" s="81">
        <v>101.898</v>
      </c>
      <c r="F37" s="81">
        <v>107.413</v>
      </c>
      <c r="G37" s="81">
        <v>103.925</v>
      </c>
      <c r="H37" s="81">
        <v>98.042000000000002</v>
      </c>
      <c r="I37" s="81">
        <v>102.35899999999999</v>
      </c>
      <c r="J37" s="81">
        <v>101.96899999999999</v>
      </c>
      <c r="K37" s="81">
        <v>97.302000000000007</v>
      </c>
      <c r="L37" s="81">
        <v>97.131</v>
      </c>
      <c r="M37" s="81">
        <v>99.512</v>
      </c>
      <c r="N37" s="81">
        <v>101.488</v>
      </c>
      <c r="O37" s="81">
        <v>99.799000000000007</v>
      </c>
      <c r="P37" s="81">
        <v>105.371</v>
      </c>
      <c r="Q37" s="81">
        <v>109.94499999999999</v>
      </c>
      <c r="R37" s="81">
        <v>107.31</v>
      </c>
      <c r="S37" s="81">
        <v>107.879</v>
      </c>
      <c r="T37" s="81">
        <v>124.236</v>
      </c>
      <c r="U37" s="81">
        <v>133.852</v>
      </c>
      <c r="V37" s="81">
        <v>134.75200000000001</v>
      </c>
    </row>
    <row r="38" spans="1:22">
      <c r="C38" s="24" t="s">
        <v>136</v>
      </c>
      <c r="D38" s="60"/>
      <c r="E38" s="88">
        <v>6.6488056684135127E-2</v>
      </c>
      <c r="F38" s="88">
        <v>6.8250584193719571E-2</v>
      </c>
      <c r="G38" s="88">
        <v>6.7086841472215553E-2</v>
      </c>
      <c r="H38" s="88">
        <v>7.0000611982619698E-2</v>
      </c>
      <c r="I38" s="88">
        <v>6.8621225295284249E-2</v>
      </c>
      <c r="J38" s="88">
        <v>6.175406250919397E-2</v>
      </c>
      <c r="K38" s="88">
        <v>6.175618178454708E-2</v>
      </c>
      <c r="L38" s="88">
        <v>6.5612420339541441E-2</v>
      </c>
      <c r="M38" s="88">
        <v>6.5358951684218985E-2</v>
      </c>
      <c r="N38" s="88">
        <v>6.7584344947185876E-2</v>
      </c>
      <c r="O38" s="88">
        <v>6.7054780108017117E-2</v>
      </c>
      <c r="P38" s="88">
        <v>7.0493779123288192E-2</v>
      </c>
      <c r="Q38" s="88">
        <v>6.7397335031151945E-2</v>
      </c>
      <c r="R38" s="88">
        <v>6.5772062249557353E-2</v>
      </c>
      <c r="S38" s="88">
        <v>6.3867851945234935E-2</v>
      </c>
      <c r="T38" s="88">
        <v>6.6961267265526897E-2</v>
      </c>
      <c r="U38" s="88">
        <v>7.2856587873173353E-2</v>
      </c>
      <c r="V38" s="88">
        <v>6.8421990026122065E-2</v>
      </c>
    </row>
    <row r="39" spans="1:22">
      <c r="A39" t="s">
        <v>2</v>
      </c>
      <c r="D39" s="61"/>
      <c r="E39" s="81"/>
      <c r="F39" s="81"/>
      <c r="G39" s="81"/>
      <c r="H39" s="81"/>
      <c r="I39" s="81"/>
      <c r="J39" s="81"/>
      <c r="K39" s="81"/>
      <c r="L39" s="81"/>
      <c r="M39" s="81"/>
      <c r="N39" s="81"/>
      <c r="O39" s="81"/>
      <c r="P39" s="81"/>
    </row>
    <row r="40" spans="1:22">
      <c r="B40" s="23"/>
      <c r="D40" s="61"/>
      <c r="E40" s="81"/>
      <c r="F40" s="81"/>
      <c r="G40" s="81"/>
      <c r="H40" s="81"/>
      <c r="I40" s="81"/>
      <c r="J40" s="81"/>
      <c r="K40" s="81"/>
      <c r="L40" s="81"/>
      <c r="M40" s="81"/>
      <c r="N40" s="81"/>
      <c r="O40" s="81"/>
      <c r="P40" s="81"/>
      <c r="Q40" s="81"/>
      <c r="R40" s="81"/>
      <c r="S40" s="81"/>
      <c r="T40" s="81"/>
      <c r="U40" s="81"/>
      <c r="V40" s="81"/>
    </row>
    <row r="41" spans="1:22">
      <c r="B41" s="22" t="s">
        <v>257</v>
      </c>
      <c r="C41" s="24"/>
      <c r="D41" s="74" t="s">
        <v>304</v>
      </c>
      <c r="E41" s="81">
        <v>7.4190000000000005</v>
      </c>
      <c r="F41" s="81">
        <v>8.1710000000000012</v>
      </c>
      <c r="G41" s="81">
        <v>7.9120000000000008</v>
      </c>
      <c r="H41" s="81">
        <v>8.0609999999999999</v>
      </c>
      <c r="I41" s="81">
        <v>8.2889999999999997</v>
      </c>
      <c r="J41" s="81">
        <v>7.3469999999999995</v>
      </c>
      <c r="K41" s="81">
        <v>7.0060000000000002</v>
      </c>
      <c r="L41" s="81">
        <v>7.7130000000000001</v>
      </c>
      <c r="M41" s="81">
        <v>7.9129999999999994</v>
      </c>
      <c r="N41" s="81">
        <v>8.391</v>
      </c>
      <c r="O41" s="81">
        <v>8.7040000000000006</v>
      </c>
      <c r="P41" s="81">
        <v>9.0519999999999996</v>
      </c>
      <c r="Q41" s="81">
        <v>9.1969999999999992</v>
      </c>
      <c r="R41" s="81">
        <v>8.6760000000000002</v>
      </c>
      <c r="S41" s="81">
        <v>8.048</v>
      </c>
      <c r="T41" s="81">
        <v>9.7170000000000005</v>
      </c>
      <c r="U41" s="81">
        <v>11.295</v>
      </c>
      <c r="V41" s="81">
        <v>10.82</v>
      </c>
    </row>
    <row r="42" spans="1:22">
      <c r="A42" s="23"/>
      <c r="D42" s="61"/>
      <c r="E42" s="81"/>
      <c r="F42" s="81"/>
      <c r="G42" s="81"/>
      <c r="H42" s="81"/>
      <c r="I42" s="81"/>
      <c r="J42" s="81"/>
      <c r="K42" s="81"/>
      <c r="L42" s="81"/>
      <c r="M42" s="81"/>
      <c r="N42" s="81"/>
      <c r="O42" s="81"/>
      <c r="P42" s="81"/>
      <c r="Q42" s="81"/>
      <c r="R42" s="81"/>
      <c r="S42" s="81"/>
      <c r="T42" s="81"/>
      <c r="U42" s="81"/>
      <c r="V42" s="81"/>
    </row>
    <row r="43" spans="1:22">
      <c r="B43" s="23" t="s">
        <v>137</v>
      </c>
      <c r="D43" s="61"/>
      <c r="E43" s="81"/>
      <c r="F43" s="81"/>
      <c r="G43" s="81"/>
      <c r="I43" s="81"/>
      <c r="J43" s="81"/>
      <c r="K43" s="81"/>
      <c r="L43" s="81"/>
      <c r="M43" s="81"/>
      <c r="N43" s="81"/>
      <c r="O43" s="81"/>
      <c r="P43" s="81"/>
      <c r="Q43" s="81"/>
      <c r="R43" s="81"/>
      <c r="S43" s="81"/>
      <c r="T43" s="81"/>
      <c r="U43" s="81"/>
      <c r="V43" s="81"/>
    </row>
    <row r="44" spans="1:22">
      <c r="C44" s="24" t="s">
        <v>138</v>
      </c>
      <c r="D44" s="74" t="s">
        <v>304</v>
      </c>
      <c r="E44" s="81">
        <v>1087.683</v>
      </c>
      <c r="F44" s="81">
        <v>1178.578</v>
      </c>
      <c r="G44" s="81">
        <v>1260.4680000000001</v>
      </c>
      <c r="H44" s="81">
        <v>1302.857</v>
      </c>
      <c r="I44" s="81">
        <v>1417.8979999999999</v>
      </c>
      <c r="J44" s="81">
        <v>1499.8040000000001</v>
      </c>
      <c r="K44" s="81">
        <v>1536.454</v>
      </c>
      <c r="L44" s="81">
        <v>1598.5530000000001</v>
      </c>
      <c r="M44" s="81">
        <v>1623.2070000000001</v>
      </c>
      <c r="N44" s="81">
        <v>1657.7439999999999</v>
      </c>
      <c r="O44" s="81">
        <v>1759.3140000000001</v>
      </c>
      <c r="P44" s="81">
        <v>1842.9459999999999</v>
      </c>
      <c r="Q44" s="81">
        <v>1950.0419999999999</v>
      </c>
      <c r="R44" s="81">
        <v>1984.5989999999999</v>
      </c>
      <c r="S44" s="81">
        <v>2088.9009999999998</v>
      </c>
      <c r="T44" s="81">
        <v>2333.221</v>
      </c>
      <c r="U44" s="81">
        <v>2563.84</v>
      </c>
      <c r="V44" s="81">
        <v>2672.6590000000001</v>
      </c>
    </row>
    <row r="45" spans="1:22">
      <c r="A45" s="25"/>
      <c r="B45" s="25"/>
      <c r="C45" s="26" t="s">
        <v>139</v>
      </c>
      <c r="D45" s="62"/>
      <c r="E45" s="87">
        <v>6.8209211691274028E-3</v>
      </c>
      <c r="F45" s="87">
        <v>6.9329310406269261E-3</v>
      </c>
      <c r="G45" s="87">
        <v>6.2770336097386055E-3</v>
      </c>
      <c r="H45" s="87">
        <v>6.1871717310495317E-3</v>
      </c>
      <c r="I45" s="87">
        <v>5.8459776373194685E-3</v>
      </c>
      <c r="J45" s="87">
        <v>4.8986400889716253E-3</v>
      </c>
      <c r="K45" s="87">
        <v>4.5598501484587243E-3</v>
      </c>
      <c r="L45" s="87">
        <v>4.8249885990642788E-3</v>
      </c>
      <c r="M45" s="87">
        <v>4.8749173703661938E-3</v>
      </c>
      <c r="N45" s="87">
        <v>5.061698308062041E-3</v>
      </c>
      <c r="O45" s="87">
        <v>4.9473829003804891E-3</v>
      </c>
      <c r="P45" s="87">
        <v>4.9117011567349237E-3</v>
      </c>
      <c r="Q45" s="87">
        <v>4.7265787975509553E-3</v>
      </c>
      <c r="R45" s="87">
        <v>4.3829869783457405E-3</v>
      </c>
      <c r="S45" s="87">
        <v>3.8684514994335277E-3</v>
      </c>
      <c r="T45" s="106">
        <v>4.2075213830715819E-3</v>
      </c>
      <c r="U45" s="106">
        <v>4.4055011233150275E-3</v>
      </c>
      <c r="V45" s="106">
        <v>4.0484027330085883E-3</v>
      </c>
    </row>
    <row r="46" spans="1:22" ht="103.5" customHeight="1">
      <c r="E46" s="167" t="s">
        <v>260</v>
      </c>
      <c r="F46" s="167"/>
      <c r="G46" s="167"/>
      <c r="H46" s="167"/>
      <c r="I46" s="167"/>
      <c r="J46" s="167"/>
      <c r="K46" s="167"/>
      <c r="L46" s="167"/>
      <c r="M46" s="167"/>
      <c r="N46" s="167"/>
      <c r="O46" s="167"/>
      <c r="P46" s="167"/>
      <c r="Q46" s="167"/>
      <c r="R46" s="167"/>
      <c r="S46" s="167"/>
      <c r="T46" s="167"/>
      <c r="U46" s="167"/>
      <c r="V46" s="167"/>
    </row>
    <row r="47" spans="1:22">
      <c r="A47" t="s">
        <v>2</v>
      </c>
    </row>
    <row r="48" spans="1:22">
      <c r="A48" t="s">
        <v>2</v>
      </c>
    </row>
    <row r="49" spans="1:1">
      <c r="A49" t="s">
        <v>2</v>
      </c>
    </row>
    <row r="50" spans="1:1">
      <c r="A50" t="s">
        <v>2</v>
      </c>
    </row>
    <row r="51" spans="1:1">
      <c r="A51" t="s">
        <v>2</v>
      </c>
    </row>
    <row r="52" spans="1:1">
      <c r="A52" t="s">
        <v>2</v>
      </c>
    </row>
    <row r="53" spans="1:1">
      <c r="A53" t="s">
        <v>2</v>
      </c>
    </row>
    <row r="54" spans="1:1">
      <c r="A54" t="s">
        <v>2</v>
      </c>
    </row>
    <row r="55" spans="1:1">
      <c r="A55" t="s">
        <v>2</v>
      </c>
    </row>
  </sheetData>
  <mergeCells count="2">
    <mergeCell ref="A2:T2"/>
    <mergeCell ref="E46:V46"/>
  </mergeCells>
  <phoneticPr fontId="14" type="noConversion"/>
  <conditionalFormatting sqref="E9:P39 E40:U42 E44:U45 E43:G43 I43:U43 E6:V8 Q23:V23 V40:V45 Q10:V21 Q25:V32">
    <cfRule type="cellIs" dxfId="40" priority="8" operator="lessThan">
      <formula>0</formula>
    </cfRule>
  </conditionalFormatting>
  <conditionalFormatting sqref="Q34:U38">
    <cfRule type="cellIs" dxfId="39" priority="3" operator="lessThan">
      <formula>0</formula>
    </cfRule>
  </conditionalFormatting>
  <conditionalFormatting sqref="W6:Y6">
    <cfRule type="cellIs" dxfId="38" priority="2" operator="lessThan">
      <formula>0</formula>
    </cfRule>
  </conditionalFormatting>
  <conditionalFormatting sqref="V34:V38">
    <cfRule type="cellIs" dxfId="0" priority="1"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99B87-FBDB-4127-B595-EEE3E696FB9A}">
  <dimension ref="A1:V48"/>
  <sheetViews>
    <sheetView zoomScale="120" zoomScaleNormal="120" workbookViewId="0">
      <selection activeCell="Y13" sqref="Y13"/>
    </sheetView>
  </sheetViews>
  <sheetFormatPr defaultColWidth="9.26953125" defaultRowHeight="14.5"/>
  <cols>
    <col min="1" max="2" width="3" customWidth="1"/>
    <col min="3" max="3" width="37.7265625" bestFit="1" customWidth="1"/>
    <col min="4" max="4" width="6.1796875" bestFit="1" customWidth="1"/>
    <col min="5" max="19" width="7" bestFit="1" customWidth="1"/>
    <col min="20" max="22" width="6.81640625" customWidth="1"/>
  </cols>
  <sheetData>
    <row r="1" spans="1:22" ht="71.25" customHeight="1">
      <c r="A1" t="s">
        <v>2</v>
      </c>
    </row>
    <row r="2" spans="1:22" ht="21">
      <c r="A2" s="162" t="s">
        <v>254</v>
      </c>
      <c r="B2" s="162"/>
      <c r="C2" s="162"/>
      <c r="D2" s="162"/>
      <c r="E2" s="162"/>
      <c r="F2" s="162"/>
      <c r="G2" s="162"/>
      <c r="H2" s="162"/>
      <c r="I2" s="162"/>
      <c r="J2" s="162"/>
      <c r="K2" s="162"/>
      <c r="L2" s="162"/>
      <c r="M2" s="162"/>
      <c r="N2" s="162"/>
      <c r="O2" s="162"/>
      <c r="P2" s="162"/>
      <c r="Q2" s="162"/>
      <c r="R2" s="162"/>
      <c r="S2" s="162"/>
      <c r="T2" s="162"/>
    </row>
    <row r="3" spans="1:22" s="21" customFormat="1" ht="12">
      <c r="A3" s="64" t="s">
        <v>38</v>
      </c>
      <c r="B3" s="64" t="s">
        <v>38</v>
      </c>
      <c r="C3" s="64" t="s">
        <v>38</v>
      </c>
      <c r="D3" s="66" t="s">
        <v>37</v>
      </c>
      <c r="E3" s="64" t="s">
        <v>281</v>
      </c>
      <c r="F3" s="64" t="s">
        <v>282</v>
      </c>
      <c r="G3" s="64" t="s">
        <v>283</v>
      </c>
      <c r="H3" s="64" t="s">
        <v>284</v>
      </c>
      <c r="I3" s="64" t="s">
        <v>285</v>
      </c>
      <c r="J3" s="64" t="s">
        <v>286</v>
      </c>
      <c r="K3" s="64" t="s">
        <v>287</v>
      </c>
      <c r="L3" s="64" t="s">
        <v>288</v>
      </c>
      <c r="M3" s="64" t="s">
        <v>289</v>
      </c>
      <c r="N3" s="64" t="s">
        <v>290</v>
      </c>
      <c r="O3" s="64" t="s">
        <v>291</v>
      </c>
      <c r="P3" s="64" t="s">
        <v>292</v>
      </c>
      <c r="Q3" s="64" t="s">
        <v>293</v>
      </c>
      <c r="R3" s="64" t="s">
        <v>294</v>
      </c>
      <c r="S3" s="64" t="s">
        <v>295</v>
      </c>
      <c r="T3" s="64" t="s">
        <v>305</v>
      </c>
      <c r="U3" s="64" t="s">
        <v>313</v>
      </c>
      <c r="V3" s="64" t="s">
        <v>328</v>
      </c>
    </row>
    <row r="5" spans="1:22">
      <c r="A5" s="22" t="s">
        <v>259</v>
      </c>
      <c r="E5" s="21"/>
      <c r="F5" s="21"/>
      <c r="G5" s="21"/>
      <c r="H5" s="21"/>
      <c r="I5" s="21"/>
      <c r="J5" s="21"/>
      <c r="K5" s="21"/>
      <c r="L5" s="21"/>
      <c r="M5" s="21"/>
      <c r="N5" s="21"/>
      <c r="O5" s="21"/>
      <c r="P5" s="21"/>
      <c r="Q5" s="21"/>
      <c r="R5" s="21"/>
    </row>
    <row r="6" spans="1:22">
      <c r="B6" s="22" t="s">
        <v>110</v>
      </c>
      <c r="D6" s="60" t="s">
        <v>47</v>
      </c>
      <c r="E6" s="82">
        <v>509</v>
      </c>
      <c r="F6" s="82">
        <v>500</v>
      </c>
      <c r="G6" s="82">
        <v>568</v>
      </c>
      <c r="H6" s="82">
        <v>540</v>
      </c>
      <c r="I6" s="82">
        <v>517</v>
      </c>
      <c r="J6" s="82">
        <v>447</v>
      </c>
      <c r="K6" s="82">
        <v>430</v>
      </c>
      <c r="L6" s="82">
        <v>499</v>
      </c>
      <c r="M6" s="82">
        <v>498</v>
      </c>
      <c r="N6" s="82">
        <v>547</v>
      </c>
      <c r="O6" s="82">
        <v>567</v>
      </c>
      <c r="P6" s="82">
        <v>627</v>
      </c>
      <c r="Q6" s="82">
        <v>626</v>
      </c>
      <c r="R6" s="82">
        <v>684</v>
      </c>
      <c r="S6" s="82">
        <v>608</v>
      </c>
      <c r="T6" s="82">
        <v>622</v>
      </c>
      <c r="U6" s="82">
        <v>613</v>
      </c>
      <c r="V6" s="82">
        <v>690</v>
      </c>
    </row>
    <row r="7" spans="1:22">
      <c r="A7" t="s">
        <v>2</v>
      </c>
      <c r="D7" s="61"/>
      <c r="E7" s="82"/>
      <c r="F7" s="82"/>
      <c r="G7" s="82"/>
      <c r="H7" s="82"/>
      <c r="I7" s="82"/>
      <c r="J7" s="82"/>
      <c r="K7" s="82"/>
      <c r="L7" s="82"/>
      <c r="M7" s="82"/>
      <c r="N7" s="82"/>
      <c r="O7" s="82"/>
      <c r="P7" s="82"/>
      <c r="Q7" s="82"/>
      <c r="R7" s="82"/>
      <c r="S7" s="82"/>
      <c r="T7" s="82"/>
      <c r="U7" s="82"/>
      <c r="V7" s="82"/>
    </row>
    <row r="8" spans="1:22">
      <c r="A8" s="23" t="s">
        <v>111</v>
      </c>
      <c r="D8" s="61"/>
      <c r="E8" s="82"/>
      <c r="F8" s="82"/>
      <c r="G8" s="82"/>
      <c r="H8" s="82"/>
      <c r="I8" s="82"/>
      <c r="J8" s="82"/>
      <c r="K8" s="82"/>
      <c r="L8" s="82"/>
      <c r="M8" s="82"/>
      <c r="N8" s="82"/>
      <c r="O8" s="82"/>
      <c r="P8" s="82"/>
      <c r="Q8" s="82"/>
      <c r="R8" s="82"/>
      <c r="S8" s="82"/>
      <c r="T8" s="82"/>
      <c r="U8" s="82"/>
      <c r="V8" s="82"/>
    </row>
    <row r="9" spans="1:22">
      <c r="B9" s="23" t="s">
        <v>112</v>
      </c>
      <c r="D9" s="61"/>
      <c r="E9" s="82"/>
      <c r="F9" s="82"/>
      <c r="G9" s="82"/>
      <c r="H9" s="82"/>
      <c r="I9" s="82"/>
      <c r="J9" s="82"/>
      <c r="K9" s="82"/>
      <c r="L9" s="82"/>
      <c r="M9" s="82"/>
      <c r="N9" s="82"/>
      <c r="O9" s="82"/>
      <c r="P9" s="82"/>
    </row>
    <row r="10" spans="1:22">
      <c r="C10" s="24" t="s">
        <v>113</v>
      </c>
      <c r="D10" s="60" t="s">
        <v>47</v>
      </c>
      <c r="E10" s="82">
        <v>270</v>
      </c>
      <c r="F10" s="82">
        <v>303</v>
      </c>
      <c r="G10" s="82">
        <v>258</v>
      </c>
      <c r="H10" s="82">
        <v>233</v>
      </c>
      <c r="I10" s="82">
        <v>213</v>
      </c>
      <c r="J10" s="82">
        <v>217</v>
      </c>
      <c r="K10" s="82" t="s">
        <v>211</v>
      </c>
      <c r="L10" s="82" t="s">
        <v>211</v>
      </c>
      <c r="M10" s="82">
        <v>255</v>
      </c>
      <c r="N10" s="82" t="s">
        <v>211</v>
      </c>
      <c r="O10" s="82">
        <v>252</v>
      </c>
      <c r="P10" s="82">
        <v>291</v>
      </c>
      <c r="Q10" s="82">
        <v>309</v>
      </c>
      <c r="R10" s="82">
        <v>297</v>
      </c>
      <c r="S10" s="82">
        <v>288</v>
      </c>
      <c r="T10" s="82">
        <v>301</v>
      </c>
      <c r="U10" s="82">
        <v>333</v>
      </c>
      <c r="V10" s="82" t="s">
        <v>211</v>
      </c>
    </row>
    <row r="11" spans="1:22">
      <c r="C11" s="24" t="s">
        <v>114</v>
      </c>
      <c r="D11" s="60" t="s">
        <v>47</v>
      </c>
      <c r="E11" s="82">
        <v>72</v>
      </c>
      <c r="F11" s="82">
        <v>68</v>
      </c>
      <c r="G11" s="82">
        <v>72</v>
      </c>
      <c r="H11" s="82">
        <v>46</v>
      </c>
      <c r="I11" s="82">
        <v>43</v>
      </c>
      <c r="J11" s="82">
        <v>36</v>
      </c>
      <c r="K11" s="82" t="s">
        <v>211</v>
      </c>
      <c r="L11" s="82" t="s">
        <v>211</v>
      </c>
      <c r="M11" s="82">
        <v>27</v>
      </c>
      <c r="N11" s="82" t="s">
        <v>211</v>
      </c>
      <c r="O11" s="82">
        <v>35</v>
      </c>
      <c r="P11" s="82">
        <v>33</v>
      </c>
      <c r="Q11" s="82">
        <v>35</v>
      </c>
      <c r="R11" s="82">
        <v>51</v>
      </c>
      <c r="S11" s="82">
        <v>51</v>
      </c>
      <c r="T11" s="82">
        <v>56</v>
      </c>
      <c r="U11" s="82">
        <v>59</v>
      </c>
      <c r="V11" s="82" t="s">
        <v>211</v>
      </c>
    </row>
    <row r="12" spans="1:22">
      <c r="C12" s="24" t="s">
        <v>115</v>
      </c>
      <c r="D12" s="60" t="s">
        <v>47</v>
      </c>
      <c r="E12" s="82">
        <v>361</v>
      </c>
      <c r="F12" s="82">
        <v>379</v>
      </c>
      <c r="G12" s="82">
        <v>328</v>
      </c>
      <c r="H12" s="82">
        <v>422</v>
      </c>
      <c r="I12" s="82">
        <v>391</v>
      </c>
      <c r="J12" s="82">
        <v>381</v>
      </c>
      <c r="K12" s="82">
        <v>345</v>
      </c>
      <c r="L12" s="82">
        <v>314</v>
      </c>
      <c r="M12" s="82">
        <v>322</v>
      </c>
      <c r="N12" s="82">
        <v>339</v>
      </c>
      <c r="O12" s="82">
        <v>350</v>
      </c>
      <c r="P12" s="82">
        <v>357</v>
      </c>
      <c r="Q12" s="82">
        <v>324</v>
      </c>
      <c r="R12" s="82">
        <v>238</v>
      </c>
      <c r="S12" s="82">
        <v>295</v>
      </c>
      <c r="T12" s="82">
        <v>315</v>
      </c>
      <c r="U12" s="82">
        <v>325</v>
      </c>
      <c r="V12" s="82" t="s">
        <v>211</v>
      </c>
    </row>
    <row r="13" spans="1:22">
      <c r="C13" s="24" t="s">
        <v>43</v>
      </c>
      <c r="D13" s="60" t="s">
        <v>47</v>
      </c>
      <c r="E13" s="82">
        <v>703</v>
      </c>
      <c r="F13" s="82">
        <v>751</v>
      </c>
      <c r="G13" s="82">
        <v>659</v>
      </c>
      <c r="H13" s="82">
        <v>701</v>
      </c>
      <c r="I13" s="82">
        <v>647</v>
      </c>
      <c r="J13" s="82">
        <v>634</v>
      </c>
      <c r="K13" s="82">
        <v>615</v>
      </c>
      <c r="L13" s="82">
        <v>564</v>
      </c>
      <c r="M13" s="82">
        <v>604</v>
      </c>
      <c r="N13" s="82">
        <v>627</v>
      </c>
      <c r="O13" s="82">
        <v>638</v>
      </c>
      <c r="P13" s="82">
        <v>681</v>
      </c>
      <c r="Q13" s="82">
        <v>668</v>
      </c>
      <c r="R13" s="82">
        <v>587</v>
      </c>
      <c r="S13" s="82">
        <v>633</v>
      </c>
      <c r="T13" s="82">
        <v>672</v>
      </c>
      <c r="U13" s="82">
        <v>717</v>
      </c>
      <c r="V13" s="82" t="s">
        <v>211</v>
      </c>
    </row>
    <row r="14" spans="1:22">
      <c r="A14" t="s">
        <v>2</v>
      </c>
      <c r="D14" s="61"/>
      <c r="E14" s="82"/>
      <c r="F14" s="82"/>
      <c r="G14" s="82"/>
      <c r="H14" s="82"/>
      <c r="I14" s="82"/>
      <c r="J14" s="82"/>
      <c r="K14" s="82"/>
      <c r="L14" s="82"/>
      <c r="M14" s="82"/>
      <c r="N14" s="82"/>
      <c r="O14" s="82"/>
      <c r="P14" s="82"/>
      <c r="Q14" s="82"/>
      <c r="R14" s="82"/>
      <c r="S14" s="82"/>
      <c r="T14" s="82"/>
      <c r="U14" s="82"/>
      <c r="V14" s="82"/>
    </row>
    <row r="15" spans="1:22">
      <c r="B15" s="23" t="s">
        <v>116</v>
      </c>
      <c r="D15" s="61"/>
      <c r="E15" s="82"/>
      <c r="F15" s="82"/>
      <c r="G15" s="82"/>
      <c r="H15" s="82"/>
      <c r="I15" s="82"/>
      <c r="J15" s="82"/>
      <c r="K15" s="82"/>
      <c r="L15" s="82"/>
      <c r="M15" s="82"/>
      <c r="N15" s="82"/>
      <c r="O15" s="82"/>
      <c r="P15" s="82"/>
    </row>
    <row r="16" spans="1:22">
      <c r="C16" s="24" t="s">
        <v>117</v>
      </c>
      <c r="D16" s="60" t="s">
        <v>47</v>
      </c>
      <c r="E16" s="82">
        <v>19</v>
      </c>
      <c r="F16" s="82">
        <v>24</v>
      </c>
      <c r="G16" s="82">
        <v>24</v>
      </c>
      <c r="H16" s="82">
        <v>25</v>
      </c>
      <c r="I16" s="82">
        <v>21</v>
      </c>
      <c r="J16" s="82">
        <v>22</v>
      </c>
      <c r="K16" s="82">
        <v>24</v>
      </c>
      <c r="L16" s="82">
        <v>33</v>
      </c>
      <c r="M16" s="82">
        <v>33</v>
      </c>
      <c r="N16" s="82">
        <v>36</v>
      </c>
      <c r="O16" s="82">
        <v>39</v>
      </c>
      <c r="P16" s="82">
        <v>57</v>
      </c>
      <c r="Q16" s="82">
        <v>59</v>
      </c>
      <c r="R16" s="82">
        <v>59</v>
      </c>
      <c r="S16" s="82">
        <v>65</v>
      </c>
      <c r="T16" s="82">
        <v>83</v>
      </c>
      <c r="U16" s="82">
        <v>97</v>
      </c>
      <c r="V16" s="82" t="s">
        <v>211</v>
      </c>
    </row>
    <row r="17" spans="1:22">
      <c r="C17" s="24" t="s">
        <v>118</v>
      </c>
      <c r="D17" s="60" t="s">
        <v>47</v>
      </c>
      <c r="E17" s="82">
        <v>937</v>
      </c>
      <c r="F17" s="82">
        <v>1021</v>
      </c>
      <c r="G17" s="82">
        <v>1015</v>
      </c>
      <c r="H17" s="82">
        <v>1065</v>
      </c>
      <c r="I17" s="82">
        <v>1054</v>
      </c>
      <c r="J17" s="82">
        <v>1160</v>
      </c>
      <c r="K17" s="82">
        <v>1083</v>
      </c>
      <c r="L17" s="82">
        <v>1009</v>
      </c>
      <c r="M17" s="82">
        <v>1106</v>
      </c>
      <c r="N17" s="82">
        <v>1192</v>
      </c>
      <c r="O17" s="82">
        <v>1227</v>
      </c>
      <c r="P17" s="82">
        <v>1343</v>
      </c>
      <c r="Q17" s="82">
        <v>1411</v>
      </c>
      <c r="R17" s="82">
        <v>1425</v>
      </c>
      <c r="S17" s="82">
        <v>1429</v>
      </c>
      <c r="T17" s="82">
        <v>1448</v>
      </c>
      <c r="U17" s="82">
        <v>1607</v>
      </c>
      <c r="V17" s="82" t="s">
        <v>211</v>
      </c>
    </row>
    <row r="18" spans="1:22">
      <c r="C18" s="24" t="s">
        <v>119</v>
      </c>
      <c r="D18" s="60" t="s">
        <v>47</v>
      </c>
      <c r="E18" s="82">
        <v>59</v>
      </c>
      <c r="F18" s="82">
        <v>61</v>
      </c>
      <c r="G18" s="82">
        <v>63</v>
      </c>
      <c r="H18" s="82">
        <v>68</v>
      </c>
      <c r="I18" s="82">
        <v>54</v>
      </c>
      <c r="J18" s="82">
        <v>61</v>
      </c>
      <c r="K18" s="82">
        <v>55</v>
      </c>
      <c r="L18" s="82">
        <v>52</v>
      </c>
      <c r="M18" s="82">
        <v>45</v>
      </c>
      <c r="N18" s="82">
        <v>48</v>
      </c>
      <c r="O18" s="82">
        <v>47</v>
      </c>
      <c r="P18" s="82">
        <v>66</v>
      </c>
      <c r="Q18" s="82">
        <v>66</v>
      </c>
      <c r="R18" s="82">
        <v>68</v>
      </c>
      <c r="S18" s="82">
        <v>72</v>
      </c>
      <c r="T18" s="82">
        <v>81</v>
      </c>
      <c r="U18" s="82">
        <v>83</v>
      </c>
      <c r="V18" s="82" t="s">
        <v>211</v>
      </c>
    </row>
    <row r="19" spans="1:22">
      <c r="C19" s="24" t="s">
        <v>120</v>
      </c>
      <c r="D19" s="60" t="s">
        <v>47</v>
      </c>
      <c r="E19" s="82">
        <v>201</v>
      </c>
      <c r="F19" s="82">
        <v>205</v>
      </c>
      <c r="G19" s="82">
        <v>194</v>
      </c>
      <c r="H19" s="82">
        <v>188</v>
      </c>
      <c r="I19" s="82">
        <v>224</v>
      </c>
      <c r="J19" s="82">
        <v>200</v>
      </c>
      <c r="K19" s="82">
        <v>175</v>
      </c>
      <c r="L19" s="82">
        <v>180</v>
      </c>
      <c r="M19" s="82">
        <v>204</v>
      </c>
      <c r="N19" s="82">
        <v>196</v>
      </c>
      <c r="O19" s="82">
        <v>192</v>
      </c>
      <c r="P19" s="82">
        <v>208</v>
      </c>
      <c r="Q19" s="82">
        <v>175</v>
      </c>
      <c r="R19" s="82">
        <v>183</v>
      </c>
      <c r="S19" s="82">
        <v>183</v>
      </c>
      <c r="T19" s="82">
        <v>193</v>
      </c>
      <c r="U19" s="82">
        <v>208</v>
      </c>
      <c r="V19" s="82" t="s">
        <v>211</v>
      </c>
    </row>
    <row r="20" spans="1:22">
      <c r="C20" s="24" t="s">
        <v>121</v>
      </c>
      <c r="D20" s="60" t="s">
        <v>47</v>
      </c>
      <c r="E20" s="82">
        <v>163</v>
      </c>
      <c r="F20" s="82">
        <v>184</v>
      </c>
      <c r="G20" s="82">
        <v>182</v>
      </c>
      <c r="H20" s="82">
        <v>177</v>
      </c>
      <c r="I20" s="82">
        <v>157</v>
      </c>
      <c r="J20" s="82">
        <v>168</v>
      </c>
      <c r="K20" s="82">
        <v>182</v>
      </c>
      <c r="L20" s="82">
        <v>170</v>
      </c>
      <c r="M20" s="82">
        <v>176</v>
      </c>
      <c r="N20" s="82">
        <v>190</v>
      </c>
      <c r="O20" s="82">
        <v>183</v>
      </c>
      <c r="P20" s="82">
        <v>211</v>
      </c>
      <c r="Q20" s="82">
        <v>222</v>
      </c>
      <c r="R20" s="82">
        <v>228</v>
      </c>
      <c r="S20" s="82">
        <v>227</v>
      </c>
      <c r="T20" s="82">
        <v>250</v>
      </c>
      <c r="U20" s="82">
        <v>276</v>
      </c>
      <c r="V20" s="82" t="s">
        <v>211</v>
      </c>
    </row>
    <row r="21" spans="1:22">
      <c r="C21" s="24" t="s">
        <v>43</v>
      </c>
      <c r="D21" s="60" t="s">
        <v>47</v>
      </c>
      <c r="E21" s="82">
        <v>1379</v>
      </c>
      <c r="F21" s="82">
        <v>1496</v>
      </c>
      <c r="G21" s="82">
        <v>1478</v>
      </c>
      <c r="H21" s="82">
        <v>1523</v>
      </c>
      <c r="I21" s="82">
        <v>1510</v>
      </c>
      <c r="J21" s="82">
        <v>1611</v>
      </c>
      <c r="K21" s="82">
        <v>1520</v>
      </c>
      <c r="L21" s="82">
        <v>1443</v>
      </c>
      <c r="M21" s="82">
        <v>1562</v>
      </c>
      <c r="N21" s="82">
        <v>1662</v>
      </c>
      <c r="O21" s="82">
        <v>1688</v>
      </c>
      <c r="P21" s="82">
        <v>1884</v>
      </c>
      <c r="Q21" s="82">
        <v>1932</v>
      </c>
      <c r="R21" s="82">
        <v>1962</v>
      </c>
      <c r="S21" s="82">
        <v>1976</v>
      </c>
      <c r="T21" s="82">
        <v>2055</v>
      </c>
      <c r="U21" s="82">
        <v>2271</v>
      </c>
      <c r="V21" s="82" t="s">
        <v>211</v>
      </c>
    </row>
    <row r="22" spans="1:22">
      <c r="A22" t="s">
        <v>2</v>
      </c>
      <c r="D22" s="61"/>
      <c r="E22" s="82"/>
      <c r="F22" s="82"/>
      <c r="G22" s="82"/>
      <c r="H22" s="82"/>
      <c r="I22" s="82"/>
      <c r="J22" s="82"/>
      <c r="K22" s="82"/>
      <c r="L22" s="82"/>
      <c r="M22" s="82"/>
      <c r="N22" s="82"/>
      <c r="O22" s="82"/>
      <c r="P22" s="82"/>
      <c r="Q22" s="82"/>
      <c r="R22" s="82"/>
      <c r="S22" s="82"/>
      <c r="T22" s="82"/>
      <c r="U22" s="82"/>
      <c r="V22" s="82"/>
    </row>
    <row r="23" spans="1:22">
      <c r="B23" s="23" t="s">
        <v>122</v>
      </c>
      <c r="C23" s="24"/>
      <c r="D23" s="60" t="s">
        <v>47</v>
      </c>
      <c r="E23" s="82">
        <v>2082</v>
      </c>
      <c r="F23" s="82">
        <v>2246</v>
      </c>
      <c r="G23" s="82">
        <v>2137</v>
      </c>
      <c r="H23" s="82">
        <v>2222</v>
      </c>
      <c r="I23" s="82">
        <v>2157</v>
      </c>
      <c r="J23" s="82">
        <v>2245</v>
      </c>
      <c r="K23" s="82">
        <v>2135</v>
      </c>
      <c r="L23" s="82">
        <v>2007</v>
      </c>
      <c r="M23" s="82">
        <v>2167</v>
      </c>
      <c r="N23" s="82">
        <v>2289</v>
      </c>
      <c r="O23" s="82">
        <v>2326</v>
      </c>
      <c r="P23" s="82">
        <v>2565</v>
      </c>
      <c r="Q23" s="82">
        <v>2599</v>
      </c>
      <c r="R23" s="82">
        <v>2548</v>
      </c>
      <c r="S23" s="82">
        <v>2610</v>
      </c>
      <c r="T23" s="82">
        <v>2726</v>
      </c>
      <c r="U23" s="82">
        <v>2989</v>
      </c>
      <c r="V23" s="82">
        <v>3253</v>
      </c>
    </row>
    <row r="24" spans="1:22">
      <c r="A24" t="s">
        <v>2</v>
      </c>
      <c r="D24" s="61"/>
      <c r="E24" s="82"/>
      <c r="F24" s="82"/>
      <c r="G24" s="82"/>
      <c r="H24" s="82"/>
      <c r="I24" s="82"/>
      <c r="J24" s="82"/>
      <c r="K24" s="82"/>
      <c r="L24" s="82"/>
      <c r="M24" s="82"/>
      <c r="N24" s="82"/>
      <c r="O24" s="82"/>
      <c r="P24" s="82"/>
      <c r="Q24" s="82"/>
      <c r="R24" s="82"/>
      <c r="S24" s="82"/>
      <c r="T24" s="82"/>
      <c r="U24" s="82"/>
      <c r="V24" s="82"/>
    </row>
    <row r="25" spans="1:22">
      <c r="B25" s="23" t="s">
        <v>140</v>
      </c>
      <c r="D25" s="61"/>
      <c r="E25" s="82"/>
      <c r="F25" s="82"/>
      <c r="G25" s="82"/>
      <c r="H25" s="82"/>
      <c r="I25" s="82"/>
      <c r="J25" s="82"/>
      <c r="K25" s="82"/>
      <c r="L25" s="82"/>
      <c r="M25" s="82"/>
      <c r="N25" s="82"/>
      <c r="O25" s="82"/>
      <c r="P25" s="82"/>
      <c r="Q25" s="82"/>
      <c r="R25" s="82"/>
      <c r="S25" s="82"/>
      <c r="T25" s="82"/>
      <c r="U25" s="82"/>
      <c r="V25" s="82"/>
    </row>
    <row r="26" spans="1:22">
      <c r="C26" s="24" t="s">
        <v>124</v>
      </c>
      <c r="D26" s="60" t="s">
        <v>47</v>
      </c>
      <c r="E26" s="82">
        <v>354</v>
      </c>
      <c r="F26" s="82">
        <v>369</v>
      </c>
      <c r="G26" s="82">
        <v>317</v>
      </c>
      <c r="H26" s="82">
        <v>335</v>
      </c>
      <c r="I26" s="82">
        <v>275</v>
      </c>
      <c r="J26" s="82">
        <v>269</v>
      </c>
      <c r="K26" s="82">
        <v>353</v>
      </c>
      <c r="L26" s="82">
        <v>380</v>
      </c>
      <c r="M26" s="82">
        <v>379</v>
      </c>
      <c r="N26" s="82">
        <v>396</v>
      </c>
      <c r="O26" s="82">
        <v>396</v>
      </c>
      <c r="P26" s="82">
        <v>394</v>
      </c>
      <c r="Q26" s="82">
        <v>381</v>
      </c>
      <c r="R26" s="82">
        <v>391</v>
      </c>
      <c r="S26" s="82">
        <v>337</v>
      </c>
      <c r="T26" s="82">
        <v>364</v>
      </c>
      <c r="U26" s="82">
        <v>401</v>
      </c>
      <c r="V26" s="82" t="s">
        <v>211</v>
      </c>
    </row>
    <row r="27" spans="1:22">
      <c r="C27" s="24" t="s">
        <v>141</v>
      </c>
      <c r="D27" s="60" t="s">
        <v>47</v>
      </c>
      <c r="E27" s="82">
        <v>472</v>
      </c>
      <c r="F27" s="82">
        <v>492</v>
      </c>
      <c r="G27" s="82">
        <v>510</v>
      </c>
      <c r="H27" s="82">
        <v>504</v>
      </c>
      <c r="I27" s="82">
        <v>556</v>
      </c>
      <c r="J27" s="82">
        <v>584</v>
      </c>
      <c r="K27" s="82">
        <v>513</v>
      </c>
      <c r="L27" s="82">
        <v>549</v>
      </c>
      <c r="M27" s="82">
        <v>570</v>
      </c>
      <c r="N27" s="82">
        <v>571</v>
      </c>
      <c r="O27" s="82">
        <v>563</v>
      </c>
      <c r="P27" s="82">
        <v>587</v>
      </c>
      <c r="Q27" s="82">
        <v>585</v>
      </c>
      <c r="R27" s="82">
        <v>603</v>
      </c>
      <c r="S27" s="82">
        <v>570</v>
      </c>
      <c r="T27" s="82">
        <v>601</v>
      </c>
      <c r="U27" s="82">
        <v>667</v>
      </c>
      <c r="V27" s="82" t="s">
        <v>211</v>
      </c>
    </row>
    <row r="28" spans="1:22">
      <c r="C28" s="24" t="s">
        <v>126</v>
      </c>
      <c r="D28" s="60" t="s">
        <v>47</v>
      </c>
      <c r="E28" s="82">
        <v>72</v>
      </c>
      <c r="F28" s="82">
        <v>54</v>
      </c>
      <c r="G28" s="82">
        <v>47</v>
      </c>
      <c r="H28" s="82">
        <v>37</v>
      </c>
      <c r="I28" s="82">
        <v>37</v>
      </c>
      <c r="J28" s="82">
        <v>38</v>
      </c>
      <c r="K28" s="82">
        <v>39</v>
      </c>
      <c r="L28" s="82">
        <v>31</v>
      </c>
      <c r="M28" s="82">
        <v>34</v>
      </c>
      <c r="N28" s="82">
        <v>37</v>
      </c>
      <c r="O28" s="82">
        <v>36</v>
      </c>
      <c r="P28" s="82">
        <v>36</v>
      </c>
      <c r="Q28" s="82">
        <v>43</v>
      </c>
      <c r="R28" s="82">
        <v>35</v>
      </c>
      <c r="S28" s="82">
        <v>39</v>
      </c>
      <c r="T28" s="82">
        <v>46</v>
      </c>
      <c r="U28" s="82">
        <v>53</v>
      </c>
      <c r="V28" s="82" t="s">
        <v>211</v>
      </c>
    </row>
    <row r="29" spans="1:22">
      <c r="C29" s="24" t="s">
        <v>127</v>
      </c>
      <c r="D29" s="60" t="s">
        <v>47</v>
      </c>
      <c r="E29" s="82">
        <v>218</v>
      </c>
      <c r="F29" s="82">
        <v>248</v>
      </c>
      <c r="G29" s="82">
        <v>162</v>
      </c>
      <c r="H29" s="82">
        <v>149</v>
      </c>
      <c r="I29" s="82">
        <v>181</v>
      </c>
      <c r="J29" s="82">
        <v>135</v>
      </c>
      <c r="K29" s="82">
        <v>144</v>
      </c>
      <c r="L29" s="82">
        <v>136</v>
      </c>
      <c r="M29" s="82">
        <v>118</v>
      </c>
      <c r="N29" s="82">
        <v>115</v>
      </c>
      <c r="O29" s="82" t="s">
        <v>211</v>
      </c>
      <c r="P29" s="82">
        <v>82</v>
      </c>
      <c r="Q29" s="82">
        <v>94</v>
      </c>
      <c r="R29" s="82">
        <v>71</v>
      </c>
      <c r="S29" s="82">
        <v>77</v>
      </c>
      <c r="T29" s="82">
        <v>89</v>
      </c>
      <c r="U29" s="82">
        <v>92</v>
      </c>
      <c r="V29" s="82" t="s">
        <v>211</v>
      </c>
    </row>
    <row r="30" spans="1:22">
      <c r="C30" s="24" t="s">
        <v>128</v>
      </c>
      <c r="D30" s="60" t="s">
        <v>47</v>
      </c>
      <c r="E30" s="82">
        <v>284</v>
      </c>
      <c r="F30" s="82">
        <v>291</v>
      </c>
      <c r="G30" s="82">
        <v>276</v>
      </c>
      <c r="H30" s="82">
        <v>306</v>
      </c>
      <c r="I30" s="82">
        <v>349</v>
      </c>
      <c r="J30" s="82">
        <v>337</v>
      </c>
      <c r="K30" s="82">
        <v>299</v>
      </c>
      <c r="L30" s="82">
        <v>269</v>
      </c>
      <c r="M30" s="82">
        <v>281</v>
      </c>
      <c r="N30" s="82">
        <v>246</v>
      </c>
      <c r="O30" s="82">
        <v>238</v>
      </c>
      <c r="P30" s="82">
        <v>234</v>
      </c>
      <c r="Q30" s="82">
        <v>249</v>
      </c>
      <c r="R30" s="82">
        <v>262</v>
      </c>
      <c r="S30" s="82">
        <v>239</v>
      </c>
      <c r="T30" s="82">
        <v>236</v>
      </c>
      <c r="U30" s="82">
        <v>285</v>
      </c>
      <c r="V30" s="82" t="s">
        <v>211</v>
      </c>
    </row>
    <row r="31" spans="1:22">
      <c r="C31" s="24" t="s">
        <v>129</v>
      </c>
      <c r="D31" s="60" t="s">
        <v>47</v>
      </c>
      <c r="E31" s="82">
        <v>70</v>
      </c>
      <c r="F31" s="82">
        <v>76</v>
      </c>
      <c r="G31" s="82">
        <v>135</v>
      </c>
      <c r="H31" s="82">
        <v>128</v>
      </c>
      <c r="I31" s="82">
        <v>121</v>
      </c>
      <c r="J31" s="82">
        <v>94</v>
      </c>
      <c r="K31" s="82">
        <v>119</v>
      </c>
      <c r="L31" s="82">
        <v>99</v>
      </c>
      <c r="M31" s="82">
        <v>113</v>
      </c>
      <c r="N31" s="82">
        <v>140</v>
      </c>
      <c r="O31" s="82" t="s">
        <v>211</v>
      </c>
      <c r="P31" s="82">
        <v>124</v>
      </c>
      <c r="Q31" s="82">
        <v>155</v>
      </c>
      <c r="R31" s="82">
        <v>182</v>
      </c>
      <c r="S31" s="82">
        <v>181</v>
      </c>
      <c r="T31" s="82">
        <v>212</v>
      </c>
      <c r="U31" s="82">
        <v>232</v>
      </c>
      <c r="V31" s="82" t="s">
        <v>211</v>
      </c>
    </row>
    <row r="32" spans="1:22">
      <c r="C32" s="24" t="s">
        <v>43</v>
      </c>
      <c r="D32" s="60" t="s">
        <v>47</v>
      </c>
      <c r="E32" s="82">
        <v>1470</v>
      </c>
      <c r="F32" s="82">
        <v>1530</v>
      </c>
      <c r="G32" s="82">
        <v>1468</v>
      </c>
      <c r="H32" s="82">
        <v>1457</v>
      </c>
      <c r="I32" s="82">
        <v>1519</v>
      </c>
      <c r="J32" s="82">
        <v>1457</v>
      </c>
      <c r="K32" s="82">
        <v>1467</v>
      </c>
      <c r="L32" s="82">
        <v>1464</v>
      </c>
      <c r="M32" s="82">
        <v>1495</v>
      </c>
      <c r="N32" s="82">
        <v>1506</v>
      </c>
      <c r="O32" s="82">
        <v>1438</v>
      </c>
      <c r="P32" s="82">
        <v>1457</v>
      </c>
      <c r="Q32" s="82">
        <v>1508</v>
      </c>
      <c r="R32" s="82">
        <v>1544</v>
      </c>
      <c r="S32" s="82">
        <v>1443</v>
      </c>
      <c r="T32" s="82">
        <v>1548</v>
      </c>
      <c r="U32" s="82">
        <v>1729</v>
      </c>
      <c r="V32" s="82">
        <v>1638</v>
      </c>
    </row>
    <row r="33" spans="1:22">
      <c r="A33" t="s">
        <v>2</v>
      </c>
      <c r="D33" s="61"/>
      <c r="E33" s="82"/>
      <c r="F33" s="82"/>
      <c r="G33" s="82"/>
      <c r="H33" s="82"/>
      <c r="I33" s="82"/>
      <c r="J33" s="82"/>
      <c r="K33" s="82"/>
      <c r="L33" s="82"/>
      <c r="M33" s="82"/>
      <c r="N33" s="82"/>
      <c r="O33" s="82"/>
      <c r="P33" s="82"/>
    </row>
    <row r="34" spans="1:22">
      <c r="B34" s="22" t="s">
        <v>256</v>
      </c>
      <c r="C34" s="24"/>
      <c r="D34" s="60" t="s">
        <v>47</v>
      </c>
      <c r="E34" s="82">
        <v>3552</v>
      </c>
      <c r="F34" s="82">
        <v>3776</v>
      </c>
      <c r="G34" s="82">
        <v>3605</v>
      </c>
      <c r="H34" s="82">
        <v>3679</v>
      </c>
      <c r="I34" s="82">
        <v>3676</v>
      </c>
      <c r="J34" s="82">
        <v>3702</v>
      </c>
      <c r="K34" s="82">
        <v>3602</v>
      </c>
      <c r="L34" s="82">
        <v>3471</v>
      </c>
      <c r="M34" s="82">
        <v>3662</v>
      </c>
      <c r="N34" s="82">
        <v>3795</v>
      </c>
      <c r="O34" s="82">
        <v>3764</v>
      </c>
      <c r="P34" s="82">
        <v>4022</v>
      </c>
      <c r="Q34" s="82">
        <v>4107</v>
      </c>
      <c r="R34" s="82">
        <v>4092</v>
      </c>
      <c r="S34" s="82">
        <v>4053</v>
      </c>
      <c r="T34" s="82">
        <v>4274</v>
      </c>
      <c r="U34" s="82">
        <v>4718</v>
      </c>
      <c r="V34" s="82">
        <v>4891</v>
      </c>
    </row>
    <row r="35" spans="1:22">
      <c r="A35" t="s">
        <v>2</v>
      </c>
      <c r="D35" s="61"/>
      <c r="E35" s="82"/>
      <c r="F35" s="82"/>
      <c r="G35" s="82"/>
      <c r="H35" s="82"/>
      <c r="I35" s="82"/>
      <c r="J35" s="82"/>
      <c r="K35" s="82"/>
      <c r="L35" s="82"/>
      <c r="M35" s="82"/>
      <c r="N35" s="82"/>
      <c r="O35" s="82"/>
      <c r="P35" s="82"/>
      <c r="Q35" s="82"/>
      <c r="R35" s="82"/>
      <c r="S35" s="82"/>
      <c r="T35" s="82"/>
      <c r="U35" s="82"/>
      <c r="V35" s="82"/>
    </row>
    <row r="36" spans="1:22">
      <c r="B36" s="23" t="s">
        <v>131</v>
      </c>
      <c r="D36" s="61"/>
      <c r="E36" s="82"/>
      <c r="F36" s="82"/>
      <c r="G36" s="82"/>
      <c r="H36" s="82"/>
      <c r="I36" s="82"/>
      <c r="J36" s="82"/>
      <c r="K36" s="82"/>
      <c r="L36" s="82"/>
      <c r="M36" s="82"/>
      <c r="N36" s="82"/>
      <c r="O36" s="82"/>
      <c r="P36" s="82"/>
    </row>
    <row r="37" spans="1:22">
      <c r="C37" s="24" t="s">
        <v>131</v>
      </c>
      <c r="D37" s="60" t="s">
        <v>47</v>
      </c>
      <c r="E37" s="82">
        <v>50036</v>
      </c>
      <c r="F37" s="82">
        <v>51647</v>
      </c>
      <c r="G37" s="82">
        <v>52402</v>
      </c>
      <c r="H37" s="82">
        <v>52064</v>
      </c>
      <c r="I37" s="82">
        <v>53482</v>
      </c>
      <c r="J37" s="82">
        <v>56096</v>
      </c>
      <c r="K37" s="82">
        <v>55490</v>
      </c>
      <c r="L37" s="82">
        <v>55341</v>
      </c>
      <c r="M37" s="82">
        <v>55329</v>
      </c>
      <c r="N37" s="82">
        <v>54951</v>
      </c>
      <c r="O37" s="82">
        <v>54969</v>
      </c>
      <c r="P37" s="82">
        <v>56400</v>
      </c>
      <c r="Q37" s="82">
        <v>58555</v>
      </c>
      <c r="R37" s="82">
        <v>59932</v>
      </c>
      <c r="S37" s="82">
        <v>60630</v>
      </c>
      <c r="T37" s="82">
        <v>63901</v>
      </c>
      <c r="U37" s="82">
        <v>69678</v>
      </c>
      <c r="V37" s="82">
        <v>73524</v>
      </c>
    </row>
    <row r="38" spans="1:22">
      <c r="A38" s="25"/>
      <c r="B38" s="25"/>
      <c r="C38" s="26" t="s">
        <v>142</v>
      </c>
      <c r="D38" s="62" t="s">
        <v>133</v>
      </c>
      <c r="E38" s="88">
        <f>E34/E37</f>
        <v>7.0988888000639544E-2</v>
      </c>
      <c r="F38" s="88">
        <f>F34/F37</f>
        <v>7.3111700582802489E-2</v>
      </c>
      <c r="G38" s="88">
        <f t="shared" ref="G38:T38" si="0">G34/G37</f>
        <v>6.8795084157093248E-2</v>
      </c>
      <c r="H38" s="88">
        <f t="shared" si="0"/>
        <v>7.0663030116779352E-2</v>
      </c>
      <c r="I38" s="88">
        <f t="shared" si="0"/>
        <v>6.8733405631801359E-2</v>
      </c>
      <c r="J38" s="88">
        <f t="shared" si="0"/>
        <v>6.5994010268111802E-2</v>
      </c>
      <c r="K38" s="88">
        <f t="shared" si="0"/>
        <v>6.4912596864299871E-2</v>
      </c>
      <c r="L38" s="88">
        <f t="shared" si="0"/>
        <v>6.2720225510923183E-2</v>
      </c>
      <c r="M38" s="88">
        <f t="shared" si="0"/>
        <v>6.6185906125178481E-2</v>
      </c>
      <c r="N38" s="88">
        <f t="shared" si="0"/>
        <v>6.906152754271988E-2</v>
      </c>
      <c r="O38" s="88">
        <f t="shared" si="0"/>
        <v>6.8474958613036443E-2</v>
      </c>
      <c r="P38" s="88">
        <f t="shared" si="0"/>
        <v>7.1312056737588655E-2</v>
      </c>
      <c r="Q38" s="88">
        <f t="shared" si="0"/>
        <v>7.013918538126547E-2</v>
      </c>
      <c r="R38" s="88">
        <f t="shared" si="0"/>
        <v>6.8277381031836087E-2</v>
      </c>
      <c r="S38" s="88">
        <f t="shared" si="0"/>
        <v>6.6848095002474017E-2</v>
      </c>
      <c r="T38" s="105">
        <f t="shared" si="0"/>
        <v>6.6884712289322551E-2</v>
      </c>
      <c r="U38" s="105">
        <v>6.7711472774763901E-2</v>
      </c>
      <c r="V38" s="105">
        <v>6.6522496055709701E-2</v>
      </c>
    </row>
    <row r="39" spans="1:22" ht="47.25" customHeight="1">
      <c r="E39" s="167" t="s">
        <v>255</v>
      </c>
      <c r="F39" s="167"/>
      <c r="G39" s="167"/>
      <c r="H39" s="167"/>
      <c r="I39" s="167"/>
      <c r="J39" s="167"/>
      <c r="K39" s="167"/>
      <c r="L39" s="167"/>
      <c r="M39" s="167"/>
      <c r="N39" s="167"/>
      <c r="O39" s="167"/>
      <c r="P39" s="167"/>
      <c r="Q39" s="167"/>
      <c r="R39" s="167"/>
      <c r="S39" s="167"/>
      <c r="T39" s="167"/>
      <c r="U39" s="167"/>
      <c r="V39" s="167"/>
    </row>
    <row r="40" spans="1:22">
      <c r="A40" t="s">
        <v>2</v>
      </c>
    </row>
    <row r="41" spans="1:22">
      <c r="A41" t="s">
        <v>2</v>
      </c>
    </row>
    <row r="42" spans="1:22">
      <c r="A42" t="s">
        <v>2</v>
      </c>
    </row>
    <row r="43" spans="1:22">
      <c r="A43" t="s">
        <v>2</v>
      </c>
    </row>
    <row r="44" spans="1:22">
      <c r="A44" t="s">
        <v>2</v>
      </c>
    </row>
    <row r="45" spans="1:22">
      <c r="A45" t="s">
        <v>2</v>
      </c>
    </row>
    <row r="46" spans="1:22">
      <c r="A46" t="s">
        <v>2</v>
      </c>
    </row>
    <row r="47" spans="1:22">
      <c r="A47" t="s">
        <v>2</v>
      </c>
    </row>
    <row r="48" spans="1:22">
      <c r="A48" t="s">
        <v>2</v>
      </c>
    </row>
  </sheetData>
  <mergeCells count="2">
    <mergeCell ref="A2:T2"/>
    <mergeCell ref="E39:V39"/>
  </mergeCells>
  <phoneticPr fontId="14" type="noConversion"/>
  <conditionalFormatting sqref="E6:U8 E9:P13 Q10:S13 T10:U14 E14:S14 E15:P15 E16:S26 T16:U32 Q27:S32 E27:P33 E34:U35 E36:P36">
    <cfRule type="cellIs" dxfId="37" priority="7" operator="lessThan">
      <formula>0</formula>
    </cfRule>
  </conditionalFormatting>
  <conditionalFormatting sqref="E37:U38">
    <cfRule type="cellIs" dxfId="36" priority="3" operator="lessThan">
      <formula>0</formula>
    </cfRule>
  </conditionalFormatting>
  <conditionalFormatting sqref="V6:V8 V34:V35 V10:V14 V16:V32">
    <cfRule type="cellIs" dxfId="35" priority="2" operator="lessThan">
      <formula>0</formula>
    </cfRule>
  </conditionalFormatting>
  <conditionalFormatting sqref="V37:V38">
    <cfRule type="cellIs" dxfId="34" priority="1" operator="lessThan">
      <formula>0</formula>
    </cfRule>
  </conditionalFormatting>
  <pageMargins left="0.7" right="0.7" top="0.75" bottom="0.75" header="0.3" footer="0.3"/>
  <pageSetup paperSize="9" orientation="portrait" r:id="rId1"/>
  <headerFooter>
    <oddHeader>&amp;C&amp;"Calibri"&amp;12&amp;KFF0000 OFFICIAL&amp;1#_x000D_</oddHeader>
    <oddFooter>&amp;C_x000D_&amp;1#&amp;"Calibri"&amp;12&amp;KFF0000 OFFICIAL</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15B3E-08E7-498B-BA7D-B4F6C3868D53}">
  <dimension ref="A1:AG36"/>
  <sheetViews>
    <sheetView zoomScaleNormal="100" workbookViewId="0">
      <selection activeCell="A13" sqref="A13:N13"/>
    </sheetView>
  </sheetViews>
  <sheetFormatPr defaultColWidth="9.26953125" defaultRowHeight="14.5"/>
  <cols>
    <col min="1" max="1" width="3" customWidth="1"/>
    <col min="2" max="2" width="39.54296875" customWidth="1"/>
    <col min="3" max="3" width="4.7265625" bestFit="1" customWidth="1"/>
    <col min="4" max="11" width="7.26953125" bestFit="1" customWidth="1"/>
    <col min="12" max="23" width="7" bestFit="1" customWidth="1"/>
    <col min="24" max="25" width="6.81640625" customWidth="1"/>
    <col min="26" max="26" width="9" customWidth="1"/>
  </cols>
  <sheetData>
    <row r="1" spans="1:25" ht="71.25" customHeight="1">
      <c r="A1" t="s">
        <v>2</v>
      </c>
    </row>
    <row r="2" spans="1:25" ht="21">
      <c r="A2" s="162" t="s">
        <v>411</v>
      </c>
      <c r="B2" s="162"/>
      <c r="C2" s="162"/>
      <c r="D2" s="162"/>
      <c r="E2" s="162"/>
      <c r="F2" s="162"/>
      <c r="G2" s="162"/>
      <c r="H2" s="162"/>
      <c r="I2" s="162"/>
      <c r="J2" s="162"/>
      <c r="K2" s="162"/>
      <c r="L2" s="162"/>
      <c r="M2" s="162"/>
      <c r="N2" s="162"/>
      <c r="O2" s="162"/>
      <c r="P2" s="162"/>
      <c r="Q2" s="162"/>
      <c r="R2" s="162"/>
      <c r="S2" s="162"/>
      <c r="T2" s="162"/>
      <c r="U2" s="162"/>
      <c r="V2" s="162"/>
      <c r="W2" s="162"/>
      <c r="X2" s="162"/>
    </row>
    <row r="3" spans="1:25" s="21" customFormat="1" ht="12">
      <c r="A3" s="64" t="s">
        <v>38</v>
      </c>
      <c r="B3" s="64" t="s">
        <v>38</v>
      </c>
      <c r="C3" s="66" t="s">
        <v>37</v>
      </c>
      <c r="D3" s="64" t="s">
        <v>297</v>
      </c>
      <c r="E3" s="64" t="s">
        <v>298</v>
      </c>
      <c r="F3" s="64" t="s">
        <v>299</v>
      </c>
      <c r="G3" s="64" t="s">
        <v>300</v>
      </c>
      <c r="H3" s="64" t="s">
        <v>281</v>
      </c>
      <c r="I3" s="64" t="s">
        <v>282</v>
      </c>
      <c r="J3" s="64" t="s">
        <v>283</v>
      </c>
      <c r="K3" s="64" t="s">
        <v>284</v>
      </c>
      <c r="L3" s="64" t="s">
        <v>285</v>
      </c>
      <c r="M3" s="64" t="s">
        <v>286</v>
      </c>
      <c r="N3" s="64" t="s">
        <v>287</v>
      </c>
      <c r="O3" s="64" t="s">
        <v>288</v>
      </c>
      <c r="P3" s="64" t="s">
        <v>289</v>
      </c>
      <c r="Q3" s="64" t="s">
        <v>290</v>
      </c>
      <c r="R3" s="64" t="s">
        <v>291</v>
      </c>
      <c r="S3" s="64" t="s">
        <v>292</v>
      </c>
      <c r="T3" s="64" t="s">
        <v>293</v>
      </c>
      <c r="U3" s="64" t="s">
        <v>294</v>
      </c>
      <c r="V3" s="64" t="s">
        <v>295</v>
      </c>
      <c r="W3" s="64" t="s">
        <v>305</v>
      </c>
      <c r="X3" s="64" t="s">
        <v>313</v>
      </c>
      <c r="Y3" s="64" t="s">
        <v>328</v>
      </c>
    </row>
    <row r="4" spans="1:25">
      <c r="A4" s="23" t="s">
        <v>109</v>
      </c>
    </row>
    <row r="5" spans="1:25">
      <c r="B5" s="24" t="s">
        <v>110</v>
      </c>
      <c r="C5" s="60" t="s">
        <v>54</v>
      </c>
      <c r="D5" s="81">
        <v>7.05314452</v>
      </c>
      <c r="E5" s="81">
        <v>8.8900679999999994</v>
      </c>
      <c r="F5" s="81">
        <v>8.9314559674999998</v>
      </c>
      <c r="G5" s="81">
        <v>8.2431039350000006</v>
      </c>
      <c r="H5" s="81">
        <v>7.7102498024999999</v>
      </c>
      <c r="I5" s="81">
        <v>8.0193829349999994</v>
      </c>
      <c r="J5" s="81">
        <v>7.4707328974999996</v>
      </c>
      <c r="K5" s="81">
        <v>6.7688378975000001</v>
      </c>
      <c r="L5" s="81">
        <v>5.2524011525000001</v>
      </c>
      <c r="M5" s="81">
        <v>7.9279304225000002</v>
      </c>
      <c r="N5" s="81">
        <v>6.4229063000000002</v>
      </c>
      <c r="O5" s="81">
        <v>6.0362675599999998</v>
      </c>
      <c r="P5" s="81">
        <v>5.2429452249999997</v>
      </c>
      <c r="Q5" s="81">
        <v>6.3538192824999999</v>
      </c>
      <c r="R5" s="81">
        <v>7.9296369274999998</v>
      </c>
      <c r="S5" s="81">
        <v>7.510963565</v>
      </c>
      <c r="T5" s="81">
        <v>6.4235307500000003</v>
      </c>
      <c r="U5" s="81">
        <v>6.6677721549999998</v>
      </c>
      <c r="V5" s="81">
        <v>5.9274719899999999</v>
      </c>
      <c r="W5" s="81">
        <v>6.61629471</v>
      </c>
      <c r="X5" s="81">
        <v>4.4976927250000003</v>
      </c>
      <c r="Y5" s="81">
        <v>5.7243296675000002</v>
      </c>
    </row>
    <row r="6" spans="1:25">
      <c r="B6" s="24" t="s">
        <v>143</v>
      </c>
      <c r="C6" s="60" t="s">
        <v>54</v>
      </c>
      <c r="D6" s="81">
        <v>2.4400067525</v>
      </c>
      <c r="E6" s="81">
        <v>3.0754829825000001</v>
      </c>
      <c r="F6" s="81">
        <v>3.0898009774999999</v>
      </c>
      <c r="G6" s="81">
        <v>2.8516683899999999</v>
      </c>
      <c r="H6" s="81">
        <v>3.0175516199999999</v>
      </c>
      <c r="I6" s="81">
        <v>4.3944657674999998</v>
      </c>
      <c r="J6" s="81">
        <v>2.5878896849999999</v>
      </c>
      <c r="K6" s="81">
        <v>3.9386941725</v>
      </c>
      <c r="L6" s="81">
        <v>3.1760629749999998</v>
      </c>
      <c r="M6" s="81">
        <v>3.3842971725000002</v>
      </c>
      <c r="N6" s="81">
        <v>3.1654191324999998</v>
      </c>
      <c r="O6" s="81">
        <v>2.8856374974999999</v>
      </c>
      <c r="P6" s="81">
        <v>3.14014953</v>
      </c>
      <c r="Q6" s="81">
        <v>3.2433590849999998</v>
      </c>
      <c r="R6" s="81">
        <v>5.0066383575</v>
      </c>
      <c r="S6" s="81">
        <v>3.50962694</v>
      </c>
      <c r="T6" s="81">
        <v>4.2166982800000001</v>
      </c>
      <c r="U6" s="81">
        <v>3.8170334499999998</v>
      </c>
      <c r="V6" s="81">
        <v>5.1546613925000004</v>
      </c>
      <c r="W6" s="81">
        <v>5.4309215725</v>
      </c>
      <c r="X6" s="81">
        <v>4.0624925474999998</v>
      </c>
      <c r="Y6" s="81">
        <v>2.6429688200000001</v>
      </c>
    </row>
    <row r="7" spans="1:25">
      <c r="B7" s="24" t="s">
        <v>43</v>
      </c>
      <c r="C7" s="60" t="s">
        <v>54</v>
      </c>
      <c r="D7" s="81">
        <v>9.4931512725000005</v>
      </c>
      <c r="E7" s="81">
        <v>11.9655509825</v>
      </c>
      <c r="F7" s="81">
        <v>12.021256944999999</v>
      </c>
      <c r="G7" s="81">
        <v>11.094772324999999</v>
      </c>
      <c r="H7" s="81">
        <v>10.727801422500001</v>
      </c>
      <c r="I7" s="81">
        <v>12.413848702499999</v>
      </c>
      <c r="J7" s="81">
        <v>10.0586225825</v>
      </c>
      <c r="K7" s="81">
        <v>10.707532069999999</v>
      </c>
      <c r="L7" s="81">
        <v>8.4284641274999998</v>
      </c>
      <c r="M7" s="81">
        <v>11.312227595</v>
      </c>
      <c r="N7" s="81">
        <v>9.5883254324999996</v>
      </c>
      <c r="O7" s="81">
        <v>8.9219050575000001</v>
      </c>
      <c r="P7" s="81">
        <v>8.3830947550000001</v>
      </c>
      <c r="Q7" s="81">
        <v>9.5971783674999998</v>
      </c>
      <c r="R7" s="81">
        <v>12.936275285000001</v>
      </c>
      <c r="S7" s="81">
        <v>11.020590504999999</v>
      </c>
      <c r="T7" s="81">
        <v>10.64022903</v>
      </c>
      <c r="U7" s="81">
        <v>10.484805605</v>
      </c>
      <c r="V7" s="81">
        <v>11.0821333825</v>
      </c>
      <c r="W7" s="81">
        <v>12.047216282500001</v>
      </c>
      <c r="X7" s="81">
        <v>8.5601852725000001</v>
      </c>
      <c r="Y7" s="81">
        <v>8.3672984874999994</v>
      </c>
    </row>
    <row r="8" spans="1:25">
      <c r="A8" t="s">
        <v>2</v>
      </c>
      <c r="C8" s="61"/>
      <c r="D8" s="82"/>
      <c r="E8" s="82"/>
      <c r="F8" s="82"/>
      <c r="G8" s="82"/>
      <c r="H8" s="82"/>
      <c r="I8" s="82"/>
      <c r="J8" s="82"/>
      <c r="K8" s="82"/>
      <c r="L8" s="82"/>
      <c r="M8" s="82"/>
      <c r="N8" s="82"/>
      <c r="O8" s="82"/>
      <c r="P8" s="82"/>
      <c r="Q8" s="82"/>
      <c r="R8" s="82"/>
      <c r="S8" s="82"/>
    </row>
    <row r="9" spans="1:25">
      <c r="A9" s="23" t="s">
        <v>144</v>
      </c>
      <c r="C9" s="61"/>
      <c r="D9" s="82"/>
      <c r="E9" s="82"/>
      <c r="F9" s="82"/>
      <c r="G9" s="82"/>
      <c r="H9" s="82"/>
      <c r="I9" s="82"/>
      <c r="J9" s="82"/>
      <c r="K9" s="82"/>
      <c r="L9" s="82"/>
      <c r="M9" s="82"/>
      <c r="N9" s="82"/>
      <c r="O9" s="82"/>
      <c r="P9" s="82"/>
      <c r="Q9" s="82"/>
      <c r="R9" s="102"/>
      <c r="S9" s="102"/>
      <c r="T9" s="102"/>
      <c r="U9" s="102"/>
      <c r="V9" s="102"/>
      <c r="W9" s="102"/>
      <c r="X9" s="102"/>
      <c r="Y9" s="102"/>
    </row>
    <row r="10" spans="1:25">
      <c r="B10" s="24" t="s">
        <v>144</v>
      </c>
      <c r="C10" s="60" t="s">
        <v>54</v>
      </c>
      <c r="D10" s="82">
        <v>369.72500000000002</v>
      </c>
      <c r="E10" s="82">
        <v>365.82499999999999</v>
      </c>
      <c r="F10" s="82">
        <v>354.67500000000001</v>
      </c>
      <c r="G10" s="82">
        <v>345.375</v>
      </c>
      <c r="H10" s="82">
        <v>343.25</v>
      </c>
      <c r="I10" s="82">
        <v>343.07499999999999</v>
      </c>
      <c r="J10" s="82">
        <v>349.92500000000001</v>
      </c>
      <c r="K10" s="82">
        <v>350.9</v>
      </c>
      <c r="L10" s="82">
        <v>337.32499999999999</v>
      </c>
      <c r="M10" s="82">
        <v>321.02499999999998</v>
      </c>
      <c r="N10" s="82">
        <v>301.375</v>
      </c>
      <c r="O10" s="82">
        <v>311.82499999999999</v>
      </c>
      <c r="P10" s="82">
        <v>317.22500000000002</v>
      </c>
      <c r="Q10" s="82">
        <v>320.75</v>
      </c>
      <c r="R10" s="82">
        <v>304.375</v>
      </c>
      <c r="S10" s="82">
        <v>329.35</v>
      </c>
      <c r="T10" s="82">
        <v>335.40221128249999</v>
      </c>
      <c r="U10" s="82">
        <v>329.33458729</v>
      </c>
      <c r="V10" s="82">
        <v>340.0933832275</v>
      </c>
      <c r="W10" s="82">
        <v>314.3479669875</v>
      </c>
      <c r="X10" s="82">
        <v>303.10262847500002</v>
      </c>
      <c r="Y10" s="82">
        <v>315.77807880249998</v>
      </c>
    </row>
    <row r="11" spans="1:25">
      <c r="B11" s="24" t="s">
        <v>145</v>
      </c>
      <c r="C11" s="60" t="s">
        <v>133</v>
      </c>
      <c r="D11" s="93">
        <v>2.567624930015552</v>
      </c>
      <c r="E11" s="93">
        <v>3.270840151028497</v>
      </c>
      <c r="F11" s="93">
        <v>3.3893725086346653</v>
      </c>
      <c r="G11" s="93">
        <v>3.2123843141512851</v>
      </c>
      <c r="H11" s="93">
        <v>3.1253609388201022</v>
      </c>
      <c r="I11" s="93">
        <v>3.6184066756540116</v>
      </c>
      <c r="J11" s="93">
        <v>2.8745081324569552</v>
      </c>
      <c r="K11" s="93">
        <v>3.0514482958107725</v>
      </c>
      <c r="L11" s="93">
        <v>2.4986182842955609</v>
      </c>
      <c r="M11" s="93">
        <v>3.5237840028035197</v>
      </c>
      <c r="N11" s="93">
        <v>3.1815264811281621</v>
      </c>
      <c r="O11" s="93">
        <v>2.8611897883428208</v>
      </c>
      <c r="P11" s="93">
        <v>2.6426337000551658</v>
      </c>
      <c r="Q11" s="93">
        <v>2.9921054925954791</v>
      </c>
      <c r="R11" s="93">
        <v>4.250110976591376</v>
      </c>
      <c r="S11" s="93">
        <v>3.3461638090177619</v>
      </c>
      <c r="T11" s="93">
        <v>3.1723789146512305</v>
      </c>
      <c r="U11" s="93">
        <v>3.1836333047422873</v>
      </c>
      <c r="V11" s="93">
        <v>3.25855601109616</v>
      </c>
      <c r="W11" s="93">
        <v>3.8324460622260226</v>
      </c>
      <c r="X11" s="93">
        <v>2.8241870799896565</v>
      </c>
      <c r="Y11" s="93">
        <v>2.6497401337137267</v>
      </c>
    </row>
    <row r="12" spans="1:25">
      <c r="A12" t="s">
        <v>2</v>
      </c>
      <c r="C12" s="61"/>
      <c r="D12" s="81"/>
      <c r="E12" s="81"/>
      <c r="F12" s="81"/>
      <c r="G12" s="81"/>
      <c r="H12" s="81"/>
      <c r="I12" s="81"/>
      <c r="J12" s="81"/>
      <c r="K12" s="81"/>
      <c r="L12" s="81"/>
      <c r="M12" s="81"/>
      <c r="N12" s="81"/>
      <c r="O12" s="81"/>
      <c r="P12" s="81"/>
      <c r="Q12" s="81"/>
      <c r="R12" s="81"/>
      <c r="S12" s="81"/>
      <c r="T12" s="81"/>
      <c r="U12" s="81"/>
      <c r="V12" s="81"/>
      <c r="W12" s="81"/>
      <c r="X12" s="81"/>
      <c r="Y12" s="81"/>
    </row>
    <row r="13" spans="1:25">
      <c r="A13" s="23" t="s">
        <v>146</v>
      </c>
      <c r="C13" s="61"/>
      <c r="D13" s="82"/>
      <c r="E13" s="82"/>
      <c r="F13" s="82"/>
      <c r="G13" s="82"/>
      <c r="H13" s="82"/>
      <c r="I13" s="82"/>
      <c r="J13" s="82"/>
      <c r="K13" s="82"/>
      <c r="L13" s="82"/>
      <c r="M13" s="82"/>
      <c r="N13" s="82"/>
      <c r="O13" s="82"/>
      <c r="P13" s="82"/>
      <c r="Q13" s="82"/>
      <c r="R13" s="82"/>
      <c r="S13" s="82"/>
      <c r="T13" s="82"/>
      <c r="U13" s="82"/>
      <c r="V13" s="82"/>
      <c r="W13" s="82"/>
      <c r="X13" s="82"/>
      <c r="Y13" s="82"/>
    </row>
    <row r="14" spans="1:25">
      <c r="B14" s="11" t="s">
        <v>252</v>
      </c>
      <c r="C14" s="60" t="s">
        <v>54</v>
      </c>
      <c r="D14" s="81">
        <v>18.131241875000001</v>
      </c>
      <c r="E14" s="81">
        <v>19.856274067499999</v>
      </c>
      <c r="F14" s="81">
        <v>19.195068615</v>
      </c>
      <c r="G14" s="81">
        <v>17.162168285</v>
      </c>
      <c r="H14" s="81">
        <v>16.387736417500001</v>
      </c>
      <c r="I14" s="81">
        <v>14.734055775</v>
      </c>
      <c r="J14" s="81">
        <v>10.81328882</v>
      </c>
      <c r="K14" s="81">
        <v>11.5727814825</v>
      </c>
      <c r="L14" s="81">
        <v>12.076101550000001</v>
      </c>
      <c r="M14" s="81">
        <v>9.4707891600000007</v>
      </c>
      <c r="N14" s="81">
        <v>11.262294105</v>
      </c>
      <c r="O14" s="81">
        <v>10.599061795000001</v>
      </c>
      <c r="P14" s="81">
        <v>8.4028936499999993</v>
      </c>
      <c r="Q14" s="81">
        <v>7.9322503475000001</v>
      </c>
      <c r="R14" s="81">
        <v>8.0786224699999991</v>
      </c>
      <c r="S14" s="81">
        <v>11.4307447425</v>
      </c>
      <c r="T14" s="81">
        <v>8.5752676225000002</v>
      </c>
      <c r="U14" s="81">
        <v>11.675032847500001</v>
      </c>
      <c r="V14" s="81">
        <v>9.5587665325</v>
      </c>
      <c r="W14" s="81">
        <v>11.8609097825</v>
      </c>
      <c r="X14" s="81">
        <v>10.23541389</v>
      </c>
      <c r="Y14" s="81">
        <v>12.029253880000001</v>
      </c>
    </row>
    <row r="15" spans="1:25">
      <c r="B15" s="11" t="s">
        <v>253</v>
      </c>
      <c r="C15" s="60" t="s">
        <v>54</v>
      </c>
      <c r="D15" s="81">
        <v>35.872297170000003</v>
      </c>
      <c r="E15" s="81">
        <v>39.401235614999997</v>
      </c>
      <c r="F15" s="81">
        <v>33.107659702500001</v>
      </c>
      <c r="G15" s="81">
        <v>34.510904727499998</v>
      </c>
      <c r="H15" s="81">
        <v>33.842871962499999</v>
      </c>
      <c r="I15" s="81">
        <v>33.521306934999998</v>
      </c>
      <c r="J15" s="81">
        <v>34.316594469999998</v>
      </c>
      <c r="K15" s="81">
        <v>33.364650542500002</v>
      </c>
      <c r="L15" s="81">
        <v>24.383255705</v>
      </c>
      <c r="M15" s="81">
        <v>28.885820020000001</v>
      </c>
      <c r="N15" s="81">
        <v>25.81944197</v>
      </c>
      <c r="O15" s="81">
        <v>37.297401027500001</v>
      </c>
      <c r="P15" s="81">
        <v>34.415767582500003</v>
      </c>
      <c r="Q15" s="81">
        <v>34.178944014999999</v>
      </c>
      <c r="R15" s="81">
        <v>31.3078938775</v>
      </c>
      <c r="S15" s="81">
        <v>39.049583222499997</v>
      </c>
      <c r="T15" s="81">
        <v>37.473918544999997</v>
      </c>
      <c r="U15" s="81">
        <v>32.750280674999999</v>
      </c>
      <c r="V15" s="81">
        <v>29.948969885</v>
      </c>
      <c r="W15" s="81">
        <v>26.841484812499999</v>
      </c>
      <c r="X15" s="81">
        <v>25.090251052500001</v>
      </c>
      <c r="Y15" s="81">
        <v>27.044600472500001</v>
      </c>
    </row>
    <row r="16" spans="1:25">
      <c r="B16" s="24" t="s">
        <v>43</v>
      </c>
      <c r="C16" s="60" t="s">
        <v>54</v>
      </c>
      <c r="D16" s="81">
        <v>54.003539044999997</v>
      </c>
      <c r="E16" s="81">
        <v>59.2575096825</v>
      </c>
      <c r="F16" s="81">
        <v>52.302728317499998</v>
      </c>
      <c r="G16" s="81">
        <v>51.673073012499998</v>
      </c>
      <c r="H16" s="81">
        <v>50.23060838</v>
      </c>
      <c r="I16" s="81">
        <v>48.25536271</v>
      </c>
      <c r="J16" s="81">
        <v>45.129883290000002</v>
      </c>
      <c r="K16" s="81">
        <v>44.937432025</v>
      </c>
      <c r="L16" s="81">
        <v>36.459357255</v>
      </c>
      <c r="M16" s="81">
        <v>38.35660918</v>
      </c>
      <c r="N16" s="81">
        <v>37.081736075000002</v>
      </c>
      <c r="O16" s="81">
        <v>47.896462822499998</v>
      </c>
      <c r="P16" s="81">
        <v>42.818661232499998</v>
      </c>
      <c r="Q16" s="81">
        <v>42.111194362500001</v>
      </c>
      <c r="R16" s="81">
        <v>39.386516347499999</v>
      </c>
      <c r="S16" s="81">
        <v>50.480327965000001</v>
      </c>
      <c r="T16" s="81">
        <v>46.049186167499997</v>
      </c>
      <c r="U16" s="81">
        <v>44.425313522499998</v>
      </c>
      <c r="V16" s="81">
        <v>39.507736417499999</v>
      </c>
      <c r="W16" s="81">
        <v>38.702394595000001</v>
      </c>
      <c r="X16" s="81">
        <v>35.325664942499998</v>
      </c>
      <c r="Y16" s="81">
        <v>39.0738543525</v>
      </c>
    </row>
    <row r="17" spans="1:33">
      <c r="A17" t="s">
        <v>2</v>
      </c>
      <c r="C17" s="61"/>
      <c r="D17" s="82"/>
      <c r="E17" s="82"/>
      <c r="F17" s="82"/>
      <c r="G17" s="82"/>
      <c r="H17" s="82"/>
      <c r="I17" s="82"/>
      <c r="J17" s="82"/>
      <c r="K17" s="82"/>
      <c r="L17" s="82"/>
      <c r="M17" s="82"/>
      <c r="N17" s="82"/>
      <c r="O17" s="82"/>
      <c r="P17" s="82"/>
      <c r="Q17" s="82"/>
      <c r="R17" s="82"/>
      <c r="S17" s="82"/>
      <c r="T17" s="82"/>
      <c r="U17" s="82"/>
      <c r="V17" s="82"/>
      <c r="W17" s="82"/>
      <c r="X17" s="82"/>
      <c r="Y17" s="82"/>
    </row>
    <row r="18" spans="1:33" ht="14.15" customHeight="1">
      <c r="A18" s="23" t="s">
        <v>140</v>
      </c>
      <c r="C18" s="61"/>
      <c r="D18" s="82"/>
      <c r="E18" s="82"/>
      <c r="F18" s="82"/>
      <c r="G18" s="82"/>
      <c r="H18" s="82"/>
      <c r="I18" s="82"/>
      <c r="J18" s="82"/>
      <c r="K18" s="82"/>
      <c r="L18" s="82"/>
      <c r="M18" s="82"/>
      <c r="N18" s="82"/>
      <c r="O18" s="82"/>
      <c r="P18" s="82"/>
      <c r="Q18" s="82"/>
      <c r="R18" s="82"/>
      <c r="S18" s="82"/>
      <c r="T18" s="82"/>
      <c r="U18" s="82"/>
      <c r="V18" s="82"/>
      <c r="W18" s="82"/>
      <c r="X18" s="82"/>
      <c r="Y18" s="82"/>
    </row>
    <row r="19" spans="1:33">
      <c r="B19" s="24" t="s">
        <v>124</v>
      </c>
      <c r="C19" s="60" t="s">
        <v>54</v>
      </c>
      <c r="D19" s="81">
        <v>8.4481870775000001</v>
      </c>
      <c r="E19" s="81">
        <v>7.9099435025</v>
      </c>
      <c r="F19" s="81">
        <v>7.7772139674999998</v>
      </c>
      <c r="G19" s="81">
        <v>8.4523665650000002</v>
      </c>
      <c r="H19" s="81">
        <v>8.9587401374999995</v>
      </c>
      <c r="I19" s="81">
        <v>4.7515362975000004</v>
      </c>
      <c r="J19" s="81">
        <v>4.8663560050000001</v>
      </c>
      <c r="K19" s="81">
        <v>3.4249091549999999</v>
      </c>
      <c r="L19" s="81">
        <v>4.1882000100000001</v>
      </c>
      <c r="M19" s="81">
        <v>3.7319224700000002</v>
      </c>
      <c r="N19" s="81">
        <v>3.52722253</v>
      </c>
      <c r="O19" s="81">
        <v>2.3344402175000001</v>
      </c>
      <c r="P19" s="81">
        <v>2.2828914400000002</v>
      </c>
      <c r="Q19" s="81">
        <v>2.0444165600000002</v>
      </c>
      <c r="R19" s="81">
        <v>4.0887955549999999</v>
      </c>
      <c r="S19" s="81">
        <v>4.3172643649999998</v>
      </c>
      <c r="T19" s="81">
        <v>3.9153433825000001</v>
      </c>
      <c r="U19" s="81">
        <v>4.5724906575000004</v>
      </c>
      <c r="V19" s="81">
        <v>5.474891145</v>
      </c>
      <c r="W19" s="81">
        <v>8.5408242699999999</v>
      </c>
      <c r="X19" s="81">
        <v>5.8893200349999999</v>
      </c>
      <c r="Y19" s="81">
        <v>4.5220528299999998</v>
      </c>
    </row>
    <row r="20" spans="1:33">
      <c r="B20" s="24" t="s">
        <v>147</v>
      </c>
      <c r="C20" s="60" t="s">
        <v>54</v>
      </c>
      <c r="D20" s="81">
        <v>10.094454474999999</v>
      </c>
      <c r="E20" s="81">
        <v>9.5719128025</v>
      </c>
      <c r="F20" s="81">
        <v>9.5018471825000006</v>
      </c>
      <c r="G20" s="81">
        <v>9.1718961599999993</v>
      </c>
      <c r="H20" s="81">
        <v>9.5309168950000007</v>
      </c>
      <c r="I20" s="81">
        <v>8.8766909424999998</v>
      </c>
      <c r="J20" s="81">
        <v>11.3102307825</v>
      </c>
      <c r="K20" s="81">
        <v>7.8537604849999996</v>
      </c>
      <c r="L20" s="81">
        <v>9.3562811124999996</v>
      </c>
      <c r="M20" s="81">
        <v>6.5120790824999997</v>
      </c>
      <c r="N20" s="81">
        <v>6.1418068549999996</v>
      </c>
      <c r="O20" s="81">
        <v>7.5474797049999998</v>
      </c>
      <c r="P20" s="81">
        <v>7.6670193449999999</v>
      </c>
      <c r="Q20" s="81">
        <v>7.3520287174999996</v>
      </c>
      <c r="R20" s="81">
        <v>9.5692053574999996</v>
      </c>
      <c r="S20" s="81">
        <v>6.4324919674999999</v>
      </c>
      <c r="T20" s="81">
        <v>8.0002167024999995</v>
      </c>
      <c r="U20" s="81">
        <v>8.2437416050000003</v>
      </c>
      <c r="V20" s="81">
        <v>9.7880503025000003</v>
      </c>
      <c r="W20" s="81">
        <v>8.0199909975000008</v>
      </c>
      <c r="X20" s="81">
        <v>6.8992210175000004</v>
      </c>
      <c r="Y20" s="81">
        <v>8.5377011150000008</v>
      </c>
    </row>
    <row r="21" spans="1:33">
      <c r="B21" s="24" t="s">
        <v>148</v>
      </c>
      <c r="C21" s="60" t="s">
        <v>54</v>
      </c>
      <c r="D21" s="81">
        <v>6.3503151149999999</v>
      </c>
      <c r="E21" s="81">
        <v>5.9457293499999997</v>
      </c>
      <c r="F21" s="81">
        <v>5.8459594975</v>
      </c>
      <c r="G21" s="81">
        <v>6.3534567549999998</v>
      </c>
      <c r="H21" s="81">
        <v>7.5691283550000001</v>
      </c>
      <c r="I21" s="81">
        <v>6.261801255</v>
      </c>
      <c r="J21" s="81">
        <v>5.1092560225000003</v>
      </c>
      <c r="K21" s="81">
        <v>7.0665349575</v>
      </c>
      <c r="L21" s="81">
        <v>5.5580882450000004</v>
      </c>
      <c r="M21" s="81">
        <v>4.9379206800000004</v>
      </c>
      <c r="N21" s="81">
        <v>5.0516545150000001</v>
      </c>
      <c r="O21" s="81">
        <v>3.6592096249999999</v>
      </c>
      <c r="P21" s="81">
        <v>3.26144174</v>
      </c>
      <c r="Q21" s="81">
        <v>3.5045090499999998</v>
      </c>
      <c r="R21" s="81">
        <v>3.7195208850000001</v>
      </c>
      <c r="S21" s="81">
        <v>3.9586746124999999</v>
      </c>
      <c r="T21" s="81">
        <v>2.6761748249999999</v>
      </c>
      <c r="U21" s="81">
        <v>2.6089846274999999</v>
      </c>
      <c r="V21" s="81">
        <v>3.8734361174999998</v>
      </c>
      <c r="W21" s="81">
        <v>2.1461307125000002</v>
      </c>
      <c r="X21" s="81">
        <v>2.5316066975</v>
      </c>
      <c r="Y21" s="81">
        <v>5.4792062399999999</v>
      </c>
    </row>
    <row r="22" spans="1:33">
      <c r="B22" s="24" t="s">
        <v>43</v>
      </c>
      <c r="C22" s="60" t="s">
        <v>54</v>
      </c>
      <c r="D22" s="81">
        <v>24.892956667499998</v>
      </c>
      <c r="E22" s="81">
        <v>23.427585655000001</v>
      </c>
      <c r="F22" s="81">
        <v>23.125020647500001</v>
      </c>
      <c r="G22" s="81">
        <v>23.977719480000001</v>
      </c>
      <c r="H22" s="81">
        <v>26.058785387499999</v>
      </c>
      <c r="I22" s="81">
        <v>19.890028494999999</v>
      </c>
      <c r="J22" s="81">
        <v>21.285842809999998</v>
      </c>
      <c r="K22" s="81">
        <v>18.3452045975</v>
      </c>
      <c r="L22" s="81">
        <v>19.102569367499999</v>
      </c>
      <c r="M22" s="81">
        <v>15.1819222325</v>
      </c>
      <c r="N22" s="81">
        <v>14.720683899999999</v>
      </c>
      <c r="O22" s="81">
        <v>13.541129547500001</v>
      </c>
      <c r="P22" s="81">
        <v>13.211352525000001</v>
      </c>
      <c r="Q22" s="81">
        <v>12.900954327499999</v>
      </c>
      <c r="R22" s="81">
        <v>17.377521797499998</v>
      </c>
      <c r="S22" s="81">
        <v>14.708430945</v>
      </c>
      <c r="T22" s="81">
        <v>14.59173491</v>
      </c>
      <c r="U22" s="81">
        <v>15.42521689</v>
      </c>
      <c r="V22" s="81">
        <v>19.136377565</v>
      </c>
      <c r="W22" s="81">
        <v>18.70694598</v>
      </c>
      <c r="X22" s="81">
        <v>15.32014775</v>
      </c>
      <c r="Y22" s="81">
        <v>18.538960185000001</v>
      </c>
    </row>
    <row r="23" spans="1:33">
      <c r="A23" t="s">
        <v>2</v>
      </c>
      <c r="C23" s="61"/>
      <c r="D23" s="81"/>
      <c r="E23" s="81"/>
      <c r="F23" s="81"/>
      <c r="G23" s="81"/>
      <c r="H23" s="81"/>
      <c r="I23" s="81"/>
      <c r="J23" s="81"/>
      <c r="K23" s="81"/>
      <c r="L23" s="81"/>
      <c r="M23" s="81"/>
      <c r="N23" s="81"/>
      <c r="O23" s="81"/>
      <c r="P23" s="81"/>
      <c r="Q23" s="81"/>
      <c r="R23" s="81"/>
      <c r="S23" s="81"/>
      <c r="T23" s="81"/>
      <c r="U23" s="81"/>
      <c r="V23" s="81"/>
      <c r="W23" s="81"/>
      <c r="X23" s="81"/>
      <c r="Y23" s="81"/>
    </row>
    <row r="24" spans="1:33">
      <c r="A24" s="23" t="s">
        <v>149</v>
      </c>
      <c r="B24" s="24"/>
      <c r="C24" s="60" t="s">
        <v>54</v>
      </c>
      <c r="D24" s="81">
        <v>78.896495712499998</v>
      </c>
      <c r="E24" s="81">
        <v>82.685095337500002</v>
      </c>
      <c r="F24" s="81">
        <v>75.427748965000006</v>
      </c>
      <c r="G24" s="81">
        <v>75.650792492500003</v>
      </c>
      <c r="H24" s="81">
        <v>76.289393767500002</v>
      </c>
      <c r="I24" s="81">
        <v>68.145391204999996</v>
      </c>
      <c r="J24" s="81">
        <v>66.415726100000001</v>
      </c>
      <c r="K24" s="81">
        <v>63.2826366225</v>
      </c>
      <c r="L24" s="81">
        <v>55.561926622500003</v>
      </c>
      <c r="M24" s="81">
        <v>53.538531412499999</v>
      </c>
      <c r="N24" s="81">
        <v>51.802419974999999</v>
      </c>
      <c r="O24" s="81">
        <v>61.437592369999997</v>
      </c>
      <c r="P24" s="81">
        <v>56.030013757500001</v>
      </c>
      <c r="Q24" s="81">
        <v>55.012148689999997</v>
      </c>
      <c r="R24" s="81">
        <v>56.764038145000001</v>
      </c>
      <c r="S24" s="81">
        <v>65.188758910000004</v>
      </c>
      <c r="T24" s="81">
        <v>60.640921077500003</v>
      </c>
      <c r="U24" s="81">
        <v>59.850530412499999</v>
      </c>
      <c r="V24" s="81">
        <v>58.644113982500002</v>
      </c>
      <c r="W24" s="81">
        <v>57.409340575000002</v>
      </c>
      <c r="X24" s="81">
        <v>50.645812692500002</v>
      </c>
      <c r="Y24" s="81">
        <v>57.6128145375</v>
      </c>
    </row>
    <row r="25" spans="1:33">
      <c r="A25" t="s">
        <v>2</v>
      </c>
      <c r="C25" s="61"/>
      <c r="D25" s="82"/>
      <c r="E25" s="82"/>
      <c r="F25" s="82"/>
      <c r="G25" s="82"/>
      <c r="H25" s="82"/>
      <c r="I25" s="82"/>
      <c r="J25" s="82"/>
      <c r="K25" s="82"/>
      <c r="L25" s="82"/>
      <c r="M25" s="82"/>
      <c r="N25" s="82"/>
      <c r="O25" s="82"/>
      <c r="P25" s="82"/>
      <c r="Q25" s="82"/>
      <c r="R25" s="82"/>
      <c r="S25" s="82"/>
      <c r="T25" s="82"/>
      <c r="U25" s="82"/>
      <c r="V25" s="82"/>
      <c r="W25" s="82"/>
      <c r="X25" s="82"/>
      <c r="Y25" s="82"/>
    </row>
    <row r="26" spans="1:33">
      <c r="A26" s="23" t="s">
        <v>150</v>
      </c>
      <c r="C26" s="61"/>
      <c r="D26" s="82"/>
      <c r="E26" s="82"/>
      <c r="F26" s="82"/>
      <c r="G26" s="82"/>
      <c r="H26" s="82"/>
      <c r="I26" s="82"/>
      <c r="J26" s="82"/>
      <c r="K26" s="82"/>
      <c r="L26" s="82"/>
      <c r="M26" s="82"/>
      <c r="N26" s="82"/>
      <c r="O26" s="82"/>
      <c r="P26" s="82"/>
      <c r="Q26" s="82"/>
      <c r="R26" s="82"/>
      <c r="S26" s="82"/>
      <c r="T26" s="82"/>
      <c r="U26" s="82"/>
      <c r="V26" s="82"/>
      <c r="W26" s="82"/>
      <c r="X26" s="82"/>
      <c r="Y26" s="82"/>
    </row>
    <row r="27" spans="1:33">
      <c r="B27" s="24" t="s">
        <v>150</v>
      </c>
      <c r="C27" s="60" t="s">
        <v>54</v>
      </c>
      <c r="D27" s="82">
        <v>1063.7141444725</v>
      </c>
      <c r="E27" s="82">
        <v>1021.74111783</v>
      </c>
      <c r="F27" s="82">
        <v>1039.3389227974999</v>
      </c>
      <c r="G27" s="82">
        <v>1012.434977265</v>
      </c>
      <c r="H27" s="82">
        <v>1013.4700977975</v>
      </c>
      <c r="I27" s="82">
        <v>1048.8237839650001</v>
      </c>
      <c r="J27" s="82">
        <v>1013.59214706</v>
      </c>
      <c r="K27" s="82">
        <v>987.09520451749995</v>
      </c>
      <c r="L27" s="82">
        <v>970.46035479249997</v>
      </c>
      <c r="M27" s="82">
        <v>938.10870186750003</v>
      </c>
      <c r="N27" s="82">
        <v>934.50476191250004</v>
      </c>
      <c r="O27" s="82">
        <v>926.87701236249995</v>
      </c>
      <c r="P27" s="82">
        <v>914.70408009250002</v>
      </c>
      <c r="Q27" s="82">
        <v>879.45462241999996</v>
      </c>
      <c r="R27" s="82">
        <v>908.47615444749999</v>
      </c>
      <c r="S27" s="82">
        <v>906.34746235750004</v>
      </c>
      <c r="T27" s="82">
        <v>900.97355828249897</v>
      </c>
      <c r="U27" s="82">
        <v>884.66221188999805</v>
      </c>
      <c r="V27" s="82">
        <v>868.62756164249799</v>
      </c>
      <c r="W27" s="82">
        <v>871.44347816250001</v>
      </c>
      <c r="X27" s="82">
        <v>868.80444447499997</v>
      </c>
      <c r="Y27" s="82">
        <v>911.07506426750001</v>
      </c>
    </row>
    <row r="28" spans="1:33">
      <c r="B28" s="24" t="s">
        <v>151</v>
      </c>
      <c r="C28" s="60" t="s">
        <v>133</v>
      </c>
      <c r="D28" s="93">
        <v>7.4170768643510963</v>
      </c>
      <c r="E28" s="93">
        <v>8.0925680580525849</v>
      </c>
      <c r="F28" s="93">
        <v>7.257281268941373</v>
      </c>
      <c r="G28" s="93">
        <v>7.4721630713375458</v>
      </c>
      <c r="H28" s="93">
        <v>7.5275426411982096</v>
      </c>
      <c r="I28" s="93">
        <v>6.4973155878846907</v>
      </c>
      <c r="J28" s="93">
        <v>6.5525099314002961</v>
      </c>
      <c r="K28" s="93">
        <v>6.4109962577959294</v>
      </c>
      <c r="L28" s="93">
        <v>5.7253164797628475</v>
      </c>
      <c r="M28" s="93">
        <v>5.7070711854522234</v>
      </c>
      <c r="N28" s="93">
        <v>5.5433018734954702</v>
      </c>
      <c r="O28" s="93">
        <v>6.6284514073126948</v>
      </c>
      <c r="P28" s="93">
        <v>6.1254798111137685</v>
      </c>
      <c r="Q28" s="93">
        <v>6.2552572114093579</v>
      </c>
      <c r="R28" s="93">
        <v>6.2482694638828127</v>
      </c>
      <c r="S28" s="93">
        <v>7.1924688507912355</v>
      </c>
      <c r="T28" s="93">
        <v>6.7305994188218046</v>
      </c>
      <c r="U28" s="93">
        <v>6.765354008354775</v>
      </c>
      <c r="V28" s="93">
        <v>6.7513531198122658</v>
      </c>
      <c r="W28" s="93">
        <v>6.5878444229167501</v>
      </c>
      <c r="X28" s="93">
        <v>5.8293685091705756</v>
      </c>
      <c r="Y28" s="93">
        <v>6.323607877888791</v>
      </c>
    </row>
    <row r="29" spans="1:33">
      <c r="A29" t="s">
        <v>2</v>
      </c>
      <c r="C29" s="61"/>
      <c r="D29" s="82"/>
      <c r="E29" s="82"/>
      <c r="F29" s="82"/>
      <c r="G29" s="82"/>
      <c r="H29" s="82"/>
      <c r="I29" s="82"/>
      <c r="J29" s="82"/>
      <c r="K29" s="82"/>
      <c r="L29" s="82"/>
      <c r="M29" s="82"/>
      <c r="N29" s="82"/>
      <c r="O29" s="82"/>
      <c r="P29" s="82"/>
      <c r="Q29" s="82"/>
      <c r="R29" s="82"/>
      <c r="S29" s="82"/>
      <c r="T29" s="82"/>
      <c r="U29" s="82"/>
      <c r="V29" s="82"/>
      <c r="W29" s="82"/>
      <c r="X29" s="82"/>
      <c r="Y29" s="82"/>
    </row>
    <row r="30" spans="1:33">
      <c r="A30" s="22" t="s">
        <v>315</v>
      </c>
      <c r="B30" s="24"/>
      <c r="C30" s="60" t="s">
        <v>54</v>
      </c>
      <c r="D30" s="82">
        <v>88.4</v>
      </c>
      <c r="E30" s="82">
        <v>94.7</v>
      </c>
      <c r="F30" s="82">
        <v>87.4</v>
      </c>
      <c r="G30" s="82">
        <v>86.7</v>
      </c>
      <c r="H30" s="82">
        <v>87</v>
      </c>
      <c r="I30" s="82">
        <v>80.599999999999994</v>
      </c>
      <c r="J30" s="82">
        <v>76.5</v>
      </c>
      <c r="K30" s="82">
        <v>74</v>
      </c>
      <c r="L30" s="82">
        <v>64</v>
      </c>
      <c r="M30" s="82">
        <v>64.900000000000006</v>
      </c>
      <c r="N30" s="82">
        <v>61.4</v>
      </c>
      <c r="O30" s="82">
        <v>70.400000000000006</v>
      </c>
      <c r="P30" s="82">
        <v>64.400000000000006</v>
      </c>
      <c r="Q30" s="82">
        <v>64.599999999999994</v>
      </c>
      <c r="R30" s="82">
        <v>69.7</v>
      </c>
      <c r="S30" s="82">
        <v>76.2</v>
      </c>
      <c r="T30" s="82">
        <v>71.281150107499997</v>
      </c>
      <c r="U30" s="82">
        <v>70.335336017499998</v>
      </c>
      <c r="V30" s="82">
        <v>69.726247365000006</v>
      </c>
      <c r="W30" s="82">
        <v>69.456556857500004</v>
      </c>
      <c r="X30" s="82">
        <v>59.205997965000002</v>
      </c>
      <c r="Y30" s="82">
        <v>65.980113024999994</v>
      </c>
      <c r="Z30" s="107"/>
      <c r="AA30" s="107"/>
      <c r="AB30" s="107"/>
      <c r="AC30" s="107"/>
      <c r="AD30" s="107"/>
      <c r="AE30" s="107"/>
      <c r="AF30" s="107"/>
      <c r="AG30" s="107"/>
    </row>
    <row r="31" spans="1:33">
      <c r="A31" t="s">
        <v>2</v>
      </c>
      <c r="C31" s="61"/>
      <c r="D31" s="82"/>
      <c r="E31" s="82"/>
      <c r="F31" s="82"/>
      <c r="G31" s="82"/>
      <c r="H31" s="82"/>
      <c r="I31" s="82"/>
      <c r="J31" s="82"/>
      <c r="K31" s="82"/>
      <c r="L31" s="82"/>
      <c r="M31" s="82"/>
      <c r="N31" s="82"/>
      <c r="O31" s="82"/>
      <c r="P31" s="82"/>
      <c r="Q31" s="82"/>
      <c r="R31" s="82"/>
      <c r="S31" s="82"/>
      <c r="T31" s="82"/>
      <c r="U31" s="82"/>
      <c r="V31" s="82"/>
      <c r="W31" s="82"/>
      <c r="X31" s="82"/>
      <c r="Y31" s="82"/>
    </row>
    <row r="32" spans="1:33">
      <c r="A32" s="23" t="s">
        <v>152</v>
      </c>
      <c r="C32" s="61"/>
      <c r="D32" s="82"/>
      <c r="E32" s="82"/>
      <c r="F32" s="82"/>
      <c r="G32" s="82"/>
      <c r="H32" s="82"/>
      <c r="I32" s="82"/>
      <c r="J32" s="82"/>
      <c r="K32" s="82"/>
      <c r="L32" s="82"/>
      <c r="M32" s="82"/>
      <c r="N32" s="82"/>
      <c r="O32" s="82"/>
      <c r="P32" s="82"/>
      <c r="Q32" s="82"/>
      <c r="R32" s="82"/>
      <c r="S32" s="82"/>
      <c r="T32" s="82"/>
      <c r="U32" s="82"/>
      <c r="V32" s="82"/>
      <c r="W32" s="82"/>
      <c r="X32" s="82"/>
      <c r="Y32" s="82"/>
    </row>
    <row r="33" spans="1:25">
      <c r="B33" s="24" t="s">
        <v>152</v>
      </c>
      <c r="C33" s="60" t="s">
        <v>54</v>
      </c>
      <c r="D33" s="82">
        <v>9297.4249999999993</v>
      </c>
      <c r="E33" s="82">
        <v>9430.6749999999993</v>
      </c>
      <c r="F33" s="82">
        <v>9677.6</v>
      </c>
      <c r="G33" s="82">
        <v>9964.625</v>
      </c>
      <c r="H33" s="82">
        <v>10249.1</v>
      </c>
      <c r="I33" s="82">
        <v>10563.674999999999</v>
      </c>
      <c r="J33" s="82">
        <v>10757.8</v>
      </c>
      <c r="K33" s="82">
        <v>10845.775</v>
      </c>
      <c r="L33" s="82">
        <v>11115.174999999999</v>
      </c>
      <c r="M33" s="82">
        <v>11249.375</v>
      </c>
      <c r="N33" s="82">
        <v>11389.85</v>
      </c>
      <c r="O33" s="82">
        <v>11456.3</v>
      </c>
      <c r="P33" s="82">
        <v>11665</v>
      </c>
      <c r="Q33" s="82">
        <v>11903.424999999999</v>
      </c>
      <c r="R33" s="82">
        <v>12079.65</v>
      </c>
      <c r="S33" s="82">
        <v>12449.95</v>
      </c>
      <c r="T33" s="82">
        <v>12734.214337789999</v>
      </c>
      <c r="U33" s="82">
        <v>12747.890136005</v>
      </c>
      <c r="V33" s="82">
        <v>12888.467832595001</v>
      </c>
      <c r="W33" s="82">
        <v>13299.0725767</v>
      </c>
      <c r="X33" s="82">
        <v>13856.208739125001</v>
      </c>
      <c r="Y33" s="82">
        <v>14260.985686522499</v>
      </c>
    </row>
    <row r="34" spans="1:25">
      <c r="A34" s="25"/>
      <c r="B34" s="26" t="s">
        <v>153</v>
      </c>
      <c r="C34" s="62" t="s">
        <v>133</v>
      </c>
      <c r="D34" s="93">
        <v>0.95068954022215835</v>
      </c>
      <c r="E34" s="93">
        <v>1.0036465716398881</v>
      </c>
      <c r="F34" s="93">
        <v>0.90362286010994453</v>
      </c>
      <c r="G34" s="93">
        <v>0.8705351663258778</v>
      </c>
      <c r="H34" s="93">
        <v>0.84902279409899395</v>
      </c>
      <c r="I34" s="93">
        <v>0.76260619441150934</v>
      </c>
      <c r="J34" s="93">
        <v>0.71087349348844553</v>
      </c>
      <c r="K34" s="93">
        <v>0.68220268899640657</v>
      </c>
      <c r="L34" s="93">
        <v>0.57570295339479594</v>
      </c>
      <c r="M34" s="93">
        <v>0.57648321802322355</v>
      </c>
      <c r="N34" s="93">
        <v>0.53899520544607704</v>
      </c>
      <c r="O34" s="93">
        <v>0.61415550769009197</v>
      </c>
      <c r="P34" s="93">
        <v>0.5521912431418774</v>
      </c>
      <c r="Q34" s="93">
        <v>0.54277930139854713</v>
      </c>
      <c r="R34" s="93">
        <v>0.57700606747712058</v>
      </c>
      <c r="S34" s="93">
        <v>0.61212574681022813</v>
      </c>
      <c r="T34" s="93">
        <v>0.56510239902455095</v>
      </c>
      <c r="U34" s="93">
        <v>0.56894933525632618</v>
      </c>
      <c r="V34" s="94">
        <v>0.56447592341088804</v>
      </c>
      <c r="W34" s="94">
        <f>(W30/W33)*100</f>
        <v>0.52226616898976863</v>
      </c>
      <c r="X34" s="94">
        <f>(X30/X33)*100</f>
        <v>0.42728858289947191</v>
      </c>
      <c r="Y34" s="129">
        <v>0.4624697027083573</v>
      </c>
    </row>
    <row r="35" spans="1:25" ht="93.65" customHeight="1">
      <c r="A35" t="s">
        <v>2</v>
      </c>
      <c r="D35" s="175" t="s">
        <v>410</v>
      </c>
      <c r="E35" s="175"/>
      <c r="F35" s="175"/>
      <c r="G35" s="175"/>
      <c r="H35" s="175"/>
      <c r="I35" s="175"/>
      <c r="J35" s="175"/>
      <c r="K35" s="175"/>
      <c r="L35" s="175"/>
      <c r="M35" s="175"/>
      <c r="N35" s="175"/>
      <c r="O35" s="175"/>
      <c r="P35" s="175"/>
      <c r="Q35" s="175"/>
      <c r="R35" s="175"/>
      <c r="S35" s="175"/>
      <c r="T35" s="175"/>
      <c r="U35" s="175"/>
      <c r="V35" s="175"/>
      <c r="W35" s="175"/>
      <c r="X35" s="175"/>
      <c r="Y35" s="175"/>
    </row>
    <row r="36" spans="1:25">
      <c r="A36" t="s">
        <v>2</v>
      </c>
    </row>
  </sheetData>
  <mergeCells count="2">
    <mergeCell ref="A2:X2"/>
    <mergeCell ref="D35:Y35"/>
  </mergeCells>
  <phoneticPr fontId="14" type="noConversion"/>
  <conditionalFormatting sqref="D8:S8">
    <cfRule type="cellIs" dxfId="33" priority="2" operator="lessThan">
      <formula>0</formula>
    </cfRule>
  </conditionalFormatting>
  <conditionalFormatting sqref="D5:Y7 D9:Y34">
    <cfRule type="cellIs" dxfId="32" priority="1"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0F956-3040-45AB-9F65-7CBFAC31F138}">
  <dimension ref="A1:T26"/>
  <sheetViews>
    <sheetView zoomScaleNormal="100" workbookViewId="0">
      <selection activeCell="A13" sqref="A13:N13"/>
    </sheetView>
  </sheetViews>
  <sheetFormatPr defaultRowHeight="14.5"/>
  <cols>
    <col min="2" max="2" width="30.7265625" customWidth="1"/>
    <col min="3" max="3" width="4.7265625" bestFit="1" customWidth="1"/>
    <col min="4" max="13" width="13.54296875" customWidth="1"/>
    <col min="30" max="30" width="13.54296875" customWidth="1"/>
  </cols>
  <sheetData>
    <row r="1" spans="1:20" ht="71.25" customHeight="1"/>
    <row r="2" spans="1:20" ht="21">
      <c r="A2" s="162" t="s">
        <v>309</v>
      </c>
      <c r="B2" s="162"/>
      <c r="C2" s="162"/>
      <c r="D2" s="162"/>
      <c r="E2" s="162"/>
      <c r="F2" s="162"/>
      <c r="G2" s="162"/>
      <c r="H2" s="162"/>
      <c r="I2" s="162"/>
      <c r="J2" s="162"/>
      <c r="K2" s="162"/>
      <c r="L2" s="162"/>
      <c r="M2" s="162"/>
      <c r="S2" s="21"/>
    </row>
    <row r="3" spans="1:20" s="21" customFormat="1" ht="12">
      <c r="A3" s="70"/>
      <c r="B3" s="57"/>
      <c r="C3" s="84" t="s">
        <v>37</v>
      </c>
      <c r="D3" s="65" t="s">
        <v>36</v>
      </c>
      <c r="E3" s="65" t="s">
        <v>35</v>
      </c>
      <c r="F3" s="65" t="s">
        <v>34</v>
      </c>
      <c r="G3" s="65" t="s">
        <v>33</v>
      </c>
      <c r="H3" s="65" t="s">
        <v>32</v>
      </c>
      <c r="I3" s="65" t="s">
        <v>31</v>
      </c>
      <c r="J3" s="65" t="s">
        <v>30</v>
      </c>
      <c r="K3" s="65" t="s">
        <v>29</v>
      </c>
      <c r="L3" s="65" t="s">
        <v>409</v>
      </c>
      <c r="M3" s="65" t="s">
        <v>28</v>
      </c>
    </row>
    <row r="4" spans="1:20" ht="15" customHeight="1">
      <c r="A4" s="52" t="s">
        <v>249</v>
      </c>
      <c r="B4" s="40"/>
      <c r="C4" s="85"/>
      <c r="D4" s="51"/>
      <c r="E4" s="51"/>
      <c r="F4" s="51"/>
      <c r="G4" s="51"/>
      <c r="H4" s="51"/>
      <c r="I4" s="51"/>
      <c r="J4" s="51"/>
      <c r="K4" s="51"/>
      <c r="L4" s="51"/>
      <c r="M4" s="51"/>
      <c r="S4" s="21"/>
    </row>
    <row r="5" spans="1:20">
      <c r="A5" s="41"/>
      <c r="B5" s="53" t="s">
        <v>243</v>
      </c>
      <c r="C5" s="39" t="s">
        <v>247</v>
      </c>
      <c r="D5" s="82">
        <v>1686</v>
      </c>
      <c r="E5" s="82">
        <v>1573</v>
      </c>
      <c r="F5" s="82">
        <v>894</v>
      </c>
      <c r="G5" s="82">
        <v>778</v>
      </c>
      <c r="H5" s="82">
        <v>742</v>
      </c>
      <c r="I5" s="82">
        <v>887</v>
      </c>
      <c r="J5" s="82">
        <v>52</v>
      </c>
      <c r="K5" s="82">
        <v>32</v>
      </c>
      <c r="L5" s="82">
        <v>0</v>
      </c>
      <c r="M5" s="82">
        <v>6651</v>
      </c>
      <c r="S5" s="21"/>
      <c r="T5" s="53"/>
    </row>
    <row r="6" spans="1:20">
      <c r="A6" s="40"/>
      <c r="B6" s="53" t="s">
        <v>244</v>
      </c>
      <c r="C6" s="39" t="s">
        <v>247</v>
      </c>
      <c r="D6" s="82">
        <v>1183</v>
      </c>
      <c r="E6" s="82">
        <v>767</v>
      </c>
      <c r="F6" s="82">
        <v>596</v>
      </c>
      <c r="G6" s="82">
        <v>209</v>
      </c>
      <c r="H6" s="82">
        <v>284</v>
      </c>
      <c r="I6" s="82">
        <v>171</v>
      </c>
      <c r="J6" s="82">
        <v>160</v>
      </c>
      <c r="K6" s="82">
        <v>19</v>
      </c>
      <c r="L6" s="82">
        <v>0</v>
      </c>
      <c r="M6" s="82">
        <v>3383</v>
      </c>
      <c r="S6" s="21"/>
      <c r="T6" s="53"/>
    </row>
    <row r="7" spans="1:20">
      <c r="A7" s="40"/>
      <c r="B7" s="53" t="s">
        <v>245</v>
      </c>
      <c r="C7" s="39" t="s">
        <v>247</v>
      </c>
      <c r="D7" s="82">
        <v>9048</v>
      </c>
      <c r="E7" s="82">
        <v>7221</v>
      </c>
      <c r="F7" s="82">
        <v>5292</v>
      </c>
      <c r="G7" s="82">
        <v>2364</v>
      </c>
      <c r="H7" s="82">
        <v>1958</v>
      </c>
      <c r="I7" s="82">
        <v>1051</v>
      </c>
      <c r="J7" s="82">
        <v>62</v>
      </c>
      <c r="K7" s="82">
        <v>321</v>
      </c>
      <c r="L7" s="82">
        <v>10</v>
      </c>
      <c r="M7" s="82">
        <v>27329</v>
      </c>
      <c r="S7" s="21"/>
      <c r="T7" s="53"/>
    </row>
    <row r="8" spans="1:20">
      <c r="A8" s="42"/>
      <c r="B8" s="53" t="s">
        <v>246</v>
      </c>
      <c r="C8" s="39" t="s">
        <v>247</v>
      </c>
      <c r="D8" s="82">
        <v>3866</v>
      </c>
      <c r="E8" s="82">
        <v>5690</v>
      </c>
      <c r="F8" s="82">
        <v>1748</v>
      </c>
      <c r="G8" s="82">
        <v>1491</v>
      </c>
      <c r="H8" s="82">
        <v>579</v>
      </c>
      <c r="I8" s="82">
        <v>380</v>
      </c>
      <c r="J8" s="82">
        <v>6</v>
      </c>
      <c r="K8" s="82">
        <v>5</v>
      </c>
      <c r="L8" s="82">
        <v>0</v>
      </c>
      <c r="M8" s="82">
        <v>13759</v>
      </c>
      <c r="S8" s="21"/>
      <c r="T8" s="53"/>
    </row>
    <row r="9" spans="1:20">
      <c r="A9" s="42"/>
      <c r="B9" s="53" t="s">
        <v>248</v>
      </c>
      <c r="C9" s="39" t="s">
        <v>247</v>
      </c>
      <c r="D9" s="82">
        <v>15783</v>
      </c>
      <c r="E9" s="82">
        <v>15251</v>
      </c>
      <c r="F9" s="82">
        <v>8530</v>
      </c>
      <c r="G9" s="82">
        <v>4842</v>
      </c>
      <c r="H9" s="82">
        <v>3563</v>
      </c>
      <c r="I9" s="82">
        <v>2489</v>
      </c>
      <c r="J9" s="82">
        <v>280</v>
      </c>
      <c r="K9" s="82">
        <v>377</v>
      </c>
      <c r="L9" s="82">
        <v>10</v>
      </c>
      <c r="M9" s="82">
        <v>51122</v>
      </c>
      <c r="S9" s="21"/>
      <c r="T9" s="53"/>
    </row>
    <row r="10" spans="1:20">
      <c r="A10" s="42"/>
      <c r="B10" s="54"/>
      <c r="C10" s="39"/>
      <c r="D10" s="82"/>
      <c r="E10" s="82"/>
      <c r="F10" s="82"/>
      <c r="G10" s="82"/>
      <c r="H10" s="82"/>
      <c r="I10" s="82"/>
      <c r="J10" s="82"/>
      <c r="K10" s="82"/>
      <c r="L10" s="82"/>
      <c r="M10" s="82"/>
      <c r="S10" s="21"/>
    </row>
    <row r="11" spans="1:20">
      <c r="A11" s="54" t="s">
        <v>250</v>
      </c>
      <c r="B11" s="21"/>
      <c r="C11" s="39" t="s">
        <v>247</v>
      </c>
      <c r="D11" s="82">
        <v>3684157</v>
      </c>
      <c r="E11" s="82">
        <v>3162897</v>
      </c>
      <c r="F11" s="82">
        <v>2444096</v>
      </c>
      <c r="G11" s="82">
        <v>839409</v>
      </c>
      <c r="H11" s="82">
        <v>1306247</v>
      </c>
      <c r="I11" s="82">
        <v>254722</v>
      </c>
      <c r="J11" s="82">
        <v>107036</v>
      </c>
      <c r="K11" s="82">
        <v>248607</v>
      </c>
      <c r="L11" s="82">
        <v>2250</v>
      </c>
      <c r="M11" s="82">
        <v>12049408</v>
      </c>
      <c r="S11" s="21"/>
      <c r="T11" s="53"/>
    </row>
    <row r="12" spans="1:20">
      <c r="A12" s="42"/>
      <c r="B12" s="54"/>
      <c r="C12" s="39"/>
      <c r="D12" s="43"/>
      <c r="E12" s="43"/>
      <c r="F12" s="43"/>
      <c r="G12" s="43"/>
      <c r="H12" s="43"/>
      <c r="I12" s="43"/>
      <c r="J12" s="43"/>
      <c r="K12" s="43"/>
      <c r="L12" s="43"/>
      <c r="M12" s="43"/>
      <c r="S12" s="21"/>
    </row>
    <row r="13" spans="1:20">
      <c r="A13" s="55" t="s">
        <v>251</v>
      </c>
      <c r="B13" s="56"/>
      <c r="C13" s="50" t="s">
        <v>133</v>
      </c>
      <c r="D13" s="95">
        <v>0.4284019383538758</v>
      </c>
      <c r="E13" s="95">
        <v>0.48218452893028135</v>
      </c>
      <c r="F13" s="95">
        <v>0.34900429443033337</v>
      </c>
      <c r="G13" s="95">
        <v>0.5768344156424341</v>
      </c>
      <c r="H13" s="95">
        <v>0.2727661766878699</v>
      </c>
      <c r="I13" s="95">
        <v>0.97714370961283281</v>
      </c>
      <c r="J13" s="95">
        <v>0.26159422997869874</v>
      </c>
      <c r="K13" s="95">
        <v>0.15164496574915429</v>
      </c>
      <c r="L13" s="95">
        <v>0.44444444444444442</v>
      </c>
      <c r="M13" s="95">
        <v>0.4242698064502422</v>
      </c>
      <c r="S13" s="21"/>
      <c r="T13" s="53"/>
    </row>
    <row r="14" spans="1:20" ht="83.5" customHeight="1">
      <c r="A14" s="44"/>
      <c r="B14" s="45"/>
      <c r="C14" s="46"/>
      <c r="D14" s="176" t="s">
        <v>310</v>
      </c>
      <c r="E14" s="176"/>
      <c r="F14" s="176"/>
      <c r="G14" s="176"/>
      <c r="H14" s="176"/>
      <c r="I14" s="176"/>
      <c r="J14" s="176"/>
      <c r="K14" s="176"/>
      <c r="L14" s="176"/>
      <c r="M14" s="176"/>
      <c r="S14" s="21"/>
    </row>
    <row r="15" spans="1:20" ht="15" customHeight="1">
      <c r="A15" s="47"/>
      <c r="B15" s="48"/>
      <c r="C15" s="48"/>
      <c r="S15" s="21"/>
      <c r="T15" s="53"/>
    </row>
    <row r="16" spans="1:20">
      <c r="A16" s="48"/>
      <c r="B16" s="48"/>
      <c r="C16" s="48"/>
      <c r="D16" s="48"/>
      <c r="E16" s="48"/>
      <c r="F16" s="48"/>
      <c r="G16" s="48"/>
      <c r="H16" s="48"/>
      <c r="I16" s="48"/>
      <c r="J16" s="48"/>
      <c r="K16" s="48"/>
      <c r="L16" s="48"/>
      <c r="M16" s="48"/>
      <c r="S16" s="21"/>
      <c r="T16" s="53"/>
    </row>
    <row r="17" spans="1:20">
      <c r="A17" s="48"/>
      <c r="B17" s="48"/>
      <c r="C17" s="48"/>
      <c r="D17" s="48"/>
      <c r="E17" s="48"/>
      <c r="F17" s="48"/>
      <c r="G17" s="48"/>
      <c r="H17" s="48"/>
      <c r="I17" s="48"/>
      <c r="J17" s="48"/>
      <c r="K17" s="48"/>
      <c r="L17" s="48"/>
      <c r="M17" s="48"/>
      <c r="T17" s="53"/>
    </row>
    <row r="18" spans="1:20">
      <c r="A18" s="48"/>
      <c r="B18" s="48"/>
      <c r="C18" s="48"/>
      <c r="D18" s="48"/>
      <c r="E18" s="48"/>
      <c r="F18" s="48"/>
      <c r="G18" s="48"/>
      <c r="H18" s="48"/>
      <c r="I18" s="48"/>
      <c r="J18" s="48"/>
      <c r="K18" s="48"/>
      <c r="L18" s="48"/>
      <c r="M18" s="48"/>
      <c r="T18" s="53"/>
    </row>
    <row r="19" spans="1:20">
      <c r="A19" s="48"/>
      <c r="B19" s="48"/>
      <c r="C19" s="48"/>
      <c r="D19" s="48"/>
      <c r="E19" s="48"/>
      <c r="F19" s="48"/>
      <c r="G19" s="48"/>
      <c r="H19" s="48"/>
      <c r="I19" s="48"/>
      <c r="J19" s="48"/>
      <c r="K19" s="48"/>
      <c r="L19" s="48"/>
      <c r="M19" s="48"/>
      <c r="T19" s="53"/>
    </row>
    <row r="20" spans="1:20">
      <c r="A20" s="48"/>
      <c r="B20" s="48"/>
      <c r="C20" s="48"/>
      <c r="D20" s="48"/>
      <c r="E20" s="48"/>
      <c r="F20" s="48"/>
      <c r="G20" s="48"/>
      <c r="H20" s="48"/>
      <c r="I20" s="48"/>
      <c r="J20" s="48"/>
      <c r="K20" s="48"/>
      <c r="L20" s="48"/>
      <c r="M20" s="48"/>
    </row>
    <row r="21" spans="1:20">
      <c r="A21" s="48"/>
      <c r="B21" s="48"/>
      <c r="C21" s="48"/>
      <c r="D21" s="48"/>
      <c r="E21" s="48"/>
      <c r="F21" s="48"/>
      <c r="G21" s="48"/>
      <c r="H21" s="48"/>
      <c r="I21" s="48"/>
      <c r="J21" s="48"/>
      <c r="K21" s="48"/>
      <c r="L21" s="48"/>
      <c r="M21" s="48"/>
      <c r="T21" s="53"/>
    </row>
    <row r="22" spans="1:20">
      <c r="A22" s="48"/>
      <c r="B22" s="48"/>
      <c r="C22" s="48"/>
      <c r="D22" s="48"/>
      <c r="E22" s="48"/>
      <c r="F22" s="48"/>
      <c r="G22" s="48"/>
      <c r="H22" s="48"/>
      <c r="I22" s="48"/>
      <c r="J22" s="48"/>
      <c r="K22" s="48"/>
      <c r="L22" s="48"/>
      <c r="M22" s="48"/>
    </row>
    <row r="23" spans="1:20">
      <c r="A23" s="48"/>
      <c r="B23" s="48"/>
      <c r="C23" s="48"/>
      <c r="D23" s="48"/>
      <c r="E23" s="48"/>
      <c r="F23" s="48"/>
      <c r="G23" s="48"/>
      <c r="H23" s="48"/>
      <c r="I23" s="48"/>
      <c r="J23" s="48"/>
      <c r="K23" s="48"/>
      <c r="L23" s="48"/>
      <c r="M23" s="48"/>
      <c r="T23" s="53"/>
    </row>
    <row r="24" spans="1:20">
      <c r="A24" s="48"/>
      <c r="B24" s="48"/>
      <c r="C24" s="48"/>
      <c r="D24" s="48"/>
      <c r="E24" s="48"/>
      <c r="F24" s="48"/>
      <c r="G24" s="48"/>
      <c r="H24" s="48"/>
      <c r="I24" s="48"/>
      <c r="J24" s="48"/>
      <c r="K24" s="48"/>
      <c r="L24" s="48"/>
      <c r="M24" s="48"/>
    </row>
    <row r="25" spans="1:20">
      <c r="A25" s="49"/>
      <c r="B25" s="49"/>
      <c r="C25" s="49"/>
      <c r="D25" s="49"/>
      <c r="E25" s="48"/>
      <c r="F25" s="48"/>
      <c r="G25" s="48"/>
      <c r="H25" s="48"/>
      <c r="I25" s="48"/>
      <c r="J25" s="48"/>
      <c r="K25" s="48"/>
      <c r="L25" s="48"/>
      <c r="M25" s="48"/>
    </row>
    <row r="26" spans="1:20">
      <c r="A26" s="49"/>
      <c r="B26" s="49"/>
      <c r="C26" s="49"/>
      <c r="D26" s="49"/>
      <c r="E26" s="48"/>
      <c r="F26" s="48"/>
      <c r="G26" s="48"/>
      <c r="H26" s="48"/>
      <c r="I26" s="48"/>
      <c r="J26" s="48"/>
      <c r="K26" s="48"/>
      <c r="L26" s="48"/>
      <c r="M26" s="48"/>
    </row>
  </sheetData>
  <mergeCells count="2">
    <mergeCell ref="D14:M14"/>
    <mergeCell ref="A2:M2"/>
  </mergeCells>
  <conditionalFormatting sqref="D5:M11">
    <cfRule type="cellIs" dxfId="31" priority="2" operator="lessThan">
      <formula>0</formula>
    </cfRule>
  </conditionalFormatting>
  <conditionalFormatting sqref="D13:M13">
    <cfRule type="cellIs" dxfId="30" priority="1" operator="lessThan">
      <formula>0</formula>
    </cfRule>
  </conditionalFormatting>
  <pageMargins left="0.7" right="0.7" top="0.75" bottom="0.75" header="0.3" footer="0.3"/>
  <pageSetup paperSize="9" orientation="portrait" r:id="rId1"/>
  <headerFooter>
    <oddHeader>&amp;C&amp;"Calibri"&amp;12&amp;KFF0000 OFFICIAL&amp;1#_x000D_</oddHeader>
    <oddFooter>&amp;C_x000D_&amp;1#&amp;"Calibri"&amp;12&amp;KFF0000 OFFICIAL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8B754-73CE-4238-8486-E7C8A55A52BD}">
  <dimension ref="A1:Z50"/>
  <sheetViews>
    <sheetView zoomScale="110" zoomScaleNormal="110" workbookViewId="0">
      <selection activeCell="A13" sqref="A13:N13"/>
    </sheetView>
  </sheetViews>
  <sheetFormatPr defaultColWidth="9.26953125" defaultRowHeight="14.5"/>
  <cols>
    <col min="1" max="2" width="3" customWidth="1"/>
    <col min="3" max="3" width="37.54296875" bestFit="1" customWidth="1"/>
    <col min="4" max="4" width="5.26953125" bestFit="1" customWidth="1"/>
    <col min="5" max="26" width="9.1796875" customWidth="1"/>
    <col min="27" max="27" width="9" customWidth="1"/>
  </cols>
  <sheetData>
    <row r="1" spans="1:26" ht="71.25" customHeight="1">
      <c r="A1" t="s">
        <v>2</v>
      </c>
    </row>
    <row r="2" spans="1:26" ht="21">
      <c r="A2" s="162" t="s">
        <v>154</v>
      </c>
      <c r="B2" s="162"/>
      <c r="C2" s="162"/>
      <c r="D2" s="162"/>
      <c r="E2" s="162"/>
      <c r="F2" s="162"/>
      <c r="G2" s="162"/>
      <c r="H2" s="162"/>
      <c r="I2" s="162"/>
      <c r="J2" s="162"/>
      <c r="K2" s="162"/>
      <c r="L2" s="162"/>
      <c r="M2" s="162"/>
      <c r="N2" s="162"/>
      <c r="O2" s="162"/>
      <c r="P2" s="162"/>
      <c r="Q2" s="162"/>
      <c r="R2" s="162"/>
      <c r="S2" s="162"/>
      <c r="T2" s="162"/>
      <c r="U2" s="162"/>
      <c r="V2" s="162"/>
      <c r="W2" s="162"/>
      <c r="X2" s="162"/>
      <c r="Y2" s="162"/>
    </row>
    <row r="3" spans="1:26" s="21" customFormat="1" ht="18" customHeight="1">
      <c r="A3" s="64" t="s">
        <v>38</v>
      </c>
      <c r="B3" s="64" t="s">
        <v>38</v>
      </c>
      <c r="C3" s="64" t="s">
        <v>38</v>
      </c>
      <c r="D3" s="66" t="s">
        <v>37</v>
      </c>
      <c r="E3" s="64" t="s">
        <v>297</v>
      </c>
      <c r="F3" s="64" t="s">
        <v>298</v>
      </c>
      <c r="G3" s="64" t="s">
        <v>299</v>
      </c>
      <c r="H3" s="64" t="s">
        <v>300</v>
      </c>
      <c r="I3" s="64" t="s">
        <v>281</v>
      </c>
      <c r="J3" s="64" t="s">
        <v>282</v>
      </c>
      <c r="K3" s="64" t="s">
        <v>283</v>
      </c>
      <c r="L3" s="64" t="s">
        <v>284</v>
      </c>
      <c r="M3" s="64" t="s">
        <v>285</v>
      </c>
      <c r="N3" s="64" t="s">
        <v>286</v>
      </c>
      <c r="O3" s="64" t="s">
        <v>287</v>
      </c>
      <c r="P3" s="64" t="s">
        <v>288</v>
      </c>
      <c r="Q3" s="64" t="s">
        <v>289</v>
      </c>
      <c r="R3" s="64" t="s">
        <v>290</v>
      </c>
      <c r="S3" s="64" t="s">
        <v>291</v>
      </c>
      <c r="T3" s="64" t="s">
        <v>292</v>
      </c>
      <c r="U3" s="64" t="s">
        <v>293</v>
      </c>
      <c r="V3" s="64" t="s">
        <v>294</v>
      </c>
      <c r="W3" s="64" t="s">
        <v>295</v>
      </c>
      <c r="X3" s="64" t="s">
        <v>305</v>
      </c>
      <c r="Y3" s="64" t="s">
        <v>313</v>
      </c>
      <c r="Z3" s="64" t="s">
        <v>328</v>
      </c>
    </row>
    <row r="4" spans="1:26">
      <c r="A4" s="23" t="s">
        <v>155</v>
      </c>
      <c r="D4" s="61"/>
    </row>
    <row r="5" spans="1:26">
      <c r="B5" s="22" t="s">
        <v>233</v>
      </c>
      <c r="D5" s="61"/>
    </row>
    <row r="6" spans="1:26">
      <c r="C6" s="11" t="s">
        <v>407</v>
      </c>
      <c r="D6" s="60" t="s">
        <v>156</v>
      </c>
      <c r="E6" s="81">
        <v>94.777533833146506</v>
      </c>
      <c r="F6" s="81">
        <v>49.060509439535799</v>
      </c>
      <c r="G6" s="81">
        <v>84.3391827459225</v>
      </c>
      <c r="H6" s="81">
        <v>82.028645805500503</v>
      </c>
      <c r="I6" s="81">
        <v>119.512623028479</v>
      </c>
      <c r="J6" s="81">
        <v>81.735212522294006</v>
      </c>
      <c r="K6" s="81">
        <v>83.768842612791005</v>
      </c>
      <c r="L6" s="81">
        <v>90.793481404120499</v>
      </c>
      <c r="M6" s="81">
        <v>94.164229540153002</v>
      </c>
      <c r="N6" s="81">
        <v>100</v>
      </c>
      <c r="O6" s="81">
        <v>103.215945064954</v>
      </c>
      <c r="P6" s="81">
        <v>107.607659303197</v>
      </c>
      <c r="Q6" s="81">
        <v>109.810574057257</v>
      </c>
      <c r="R6" s="81">
        <v>113.721824658972</v>
      </c>
      <c r="S6" s="81">
        <v>117.249481675761</v>
      </c>
      <c r="T6" s="81">
        <v>122.036697124562</v>
      </c>
      <c r="U6" s="109">
        <v>126.434961216349</v>
      </c>
      <c r="V6" s="109">
        <v>132.03664659858899</v>
      </c>
      <c r="W6" s="109">
        <v>142.03764936966499</v>
      </c>
      <c r="X6" s="109">
        <v>163.21936169089199</v>
      </c>
      <c r="Y6" s="109">
        <v>177.65667083861501</v>
      </c>
      <c r="Z6" s="109">
        <v>186.019578433406</v>
      </c>
    </row>
    <row r="7" spans="1:26">
      <c r="C7" s="11" t="s">
        <v>408</v>
      </c>
      <c r="D7" s="60" t="s">
        <v>156</v>
      </c>
      <c r="E7" s="81">
        <v>98.085881086418496</v>
      </c>
      <c r="F7" s="81">
        <v>50.133286778925502</v>
      </c>
      <c r="G7" s="81">
        <v>82.982375643605494</v>
      </c>
      <c r="H7" s="81">
        <v>80.458473922691496</v>
      </c>
      <c r="I7" s="81">
        <v>119.445985142369</v>
      </c>
      <c r="J7" s="81">
        <v>85.535179893646003</v>
      </c>
      <c r="K7" s="81">
        <v>87.489905206979998</v>
      </c>
      <c r="L7" s="81">
        <v>93.839194974626494</v>
      </c>
      <c r="M7" s="81">
        <v>96.732847144155002</v>
      </c>
      <c r="N7" s="81">
        <v>100</v>
      </c>
      <c r="O7" s="81">
        <v>102.49514803522401</v>
      </c>
      <c r="P7" s="81">
        <v>107.88199449778</v>
      </c>
      <c r="Q7" s="81">
        <v>113.125669515232</v>
      </c>
      <c r="R7" s="81">
        <v>117.392972273723</v>
      </c>
      <c r="S7" s="81">
        <v>120.944940056454</v>
      </c>
      <c r="T7" s="81">
        <v>125.873960022047</v>
      </c>
      <c r="U7" s="109">
        <v>131.327255425468</v>
      </c>
      <c r="V7" s="109">
        <v>133.71480958189201</v>
      </c>
      <c r="W7" s="109">
        <v>139.976978137202</v>
      </c>
      <c r="X7" s="109">
        <v>157.23400882862401</v>
      </c>
      <c r="Y7" s="109">
        <v>165.84360548116999</v>
      </c>
      <c r="Z7" s="109">
        <v>178.54287665036799</v>
      </c>
    </row>
    <row r="8" spans="1:26">
      <c r="C8" s="11" t="s">
        <v>234</v>
      </c>
      <c r="D8" s="60" t="s">
        <v>156</v>
      </c>
      <c r="E8" s="81" t="s">
        <v>211</v>
      </c>
      <c r="F8" s="81">
        <v>98.887976732359405</v>
      </c>
      <c r="G8" s="81">
        <v>97.311772965952201</v>
      </c>
      <c r="H8" s="81">
        <v>91.349004776168201</v>
      </c>
      <c r="I8" s="81">
        <v>86.245236041709603</v>
      </c>
      <c r="J8" s="81">
        <v>97.967971289802406</v>
      </c>
      <c r="K8" s="81">
        <v>101.692973849222</v>
      </c>
      <c r="L8" s="81">
        <v>102.367688309057</v>
      </c>
      <c r="M8" s="81">
        <v>104.470847155513</v>
      </c>
      <c r="N8" s="81">
        <v>99.999999999999901</v>
      </c>
      <c r="O8" s="81">
        <v>96.186579211180202</v>
      </c>
      <c r="P8" s="81">
        <v>103.708996880903</v>
      </c>
      <c r="Q8" s="81">
        <v>115.35459755370501</v>
      </c>
      <c r="R8" s="81">
        <v>111.924075516408</v>
      </c>
      <c r="S8" s="81">
        <v>110.019723130763</v>
      </c>
      <c r="T8" s="81">
        <v>121.579015704296</v>
      </c>
      <c r="U8" s="109">
        <v>130.414164914552</v>
      </c>
      <c r="V8" s="109">
        <v>126.789579699386</v>
      </c>
      <c r="W8" s="109">
        <v>132.23201457624799</v>
      </c>
      <c r="X8" s="109">
        <v>176.47702340487399</v>
      </c>
      <c r="Y8" s="109">
        <v>181.73199891968099</v>
      </c>
      <c r="Z8" s="109">
        <v>180.99879078390299</v>
      </c>
    </row>
    <row r="9" spans="1:26">
      <c r="C9" s="11" t="s">
        <v>235</v>
      </c>
      <c r="D9" s="60" t="s">
        <v>156</v>
      </c>
      <c r="E9" s="81" t="s">
        <v>211</v>
      </c>
      <c r="F9" s="81">
        <v>104.462614680172</v>
      </c>
      <c r="G9" s="81">
        <v>105.075381653767</v>
      </c>
      <c r="H9" s="81">
        <v>103.824026717187</v>
      </c>
      <c r="I9" s="81">
        <v>105.84445719463901</v>
      </c>
      <c r="J9" s="81">
        <v>111.907411437919</v>
      </c>
      <c r="K9" s="81">
        <v>111.048892228772</v>
      </c>
      <c r="L9" s="81">
        <v>105.665717424102</v>
      </c>
      <c r="M9" s="81">
        <v>103.970902327761</v>
      </c>
      <c r="N9" s="81">
        <v>100</v>
      </c>
      <c r="O9" s="81">
        <v>96.865468948310195</v>
      </c>
      <c r="P9" s="81">
        <v>100.83495924936</v>
      </c>
      <c r="Q9" s="81">
        <v>105.498722022447</v>
      </c>
      <c r="R9" s="81">
        <v>114.99201695267701</v>
      </c>
      <c r="S9" s="81">
        <v>118.253337305369</v>
      </c>
      <c r="T9" s="81">
        <v>120.100007876129</v>
      </c>
      <c r="U9" s="109">
        <v>128.434320601607</v>
      </c>
      <c r="V9" s="109">
        <v>127.622788987606</v>
      </c>
      <c r="W9" s="109">
        <v>138.15207897453701</v>
      </c>
      <c r="X9" s="109">
        <v>222.70061014261501</v>
      </c>
      <c r="Y9" s="109">
        <v>232.129014792373</v>
      </c>
      <c r="Z9" s="109">
        <v>186.52719450927501</v>
      </c>
    </row>
    <row r="10" spans="1:26">
      <c r="A10" t="s">
        <v>2</v>
      </c>
      <c r="D10" s="61"/>
      <c r="E10" s="81"/>
      <c r="F10" s="81"/>
      <c r="G10" s="81"/>
      <c r="H10" s="81"/>
      <c r="I10" s="81"/>
      <c r="J10" s="81"/>
      <c r="K10" s="81"/>
      <c r="L10" s="81"/>
      <c r="M10" s="81"/>
      <c r="N10" s="81"/>
      <c r="O10" s="81"/>
      <c r="P10" s="81"/>
      <c r="Q10" s="81"/>
      <c r="R10" s="81"/>
      <c r="S10" s="81"/>
      <c r="T10" s="81"/>
      <c r="U10" s="81"/>
      <c r="V10" s="81"/>
      <c r="W10" s="81"/>
      <c r="X10" s="81"/>
    </row>
    <row r="11" spans="1:26">
      <c r="A11" s="22" t="s">
        <v>236</v>
      </c>
      <c r="D11" s="61"/>
      <c r="E11" s="81"/>
      <c r="F11" s="81"/>
      <c r="G11" s="81"/>
      <c r="H11" s="81"/>
      <c r="I11" s="81"/>
      <c r="J11" s="81"/>
      <c r="K11" s="81"/>
      <c r="L11" s="81"/>
      <c r="M11" s="81"/>
      <c r="N11" s="81"/>
      <c r="O11" s="81"/>
      <c r="P11" s="81"/>
      <c r="Q11" s="81"/>
      <c r="R11" s="81"/>
      <c r="S11" s="81"/>
      <c r="T11" s="81"/>
      <c r="U11" s="81"/>
      <c r="V11" s="81"/>
      <c r="W11" s="81"/>
      <c r="X11" s="81"/>
    </row>
    <row r="12" spans="1:26">
      <c r="B12" s="22" t="s">
        <v>238</v>
      </c>
      <c r="D12" s="61"/>
      <c r="E12" s="81"/>
      <c r="F12" s="81"/>
      <c r="G12" s="81"/>
      <c r="H12" s="81"/>
      <c r="I12" s="81"/>
      <c r="J12" s="81"/>
      <c r="K12" s="81"/>
      <c r="L12" s="81"/>
      <c r="M12" s="81"/>
      <c r="N12" s="81"/>
      <c r="O12" s="81"/>
      <c r="P12" s="81"/>
      <c r="Q12" s="81"/>
      <c r="R12" s="81"/>
      <c r="S12" s="81"/>
      <c r="T12" s="81"/>
      <c r="U12" s="81"/>
      <c r="V12" s="81"/>
      <c r="W12" s="81"/>
      <c r="X12" s="81"/>
    </row>
    <row r="13" spans="1:26">
      <c r="C13" s="12" t="s">
        <v>162</v>
      </c>
      <c r="D13" s="60" t="s">
        <v>156</v>
      </c>
      <c r="E13" s="81">
        <v>85.5</v>
      </c>
      <c r="F13" s="81">
        <v>87.7</v>
      </c>
      <c r="G13" s="81">
        <v>89.174999999999997</v>
      </c>
      <c r="H13" s="81">
        <v>89.45</v>
      </c>
      <c r="I13" s="81">
        <v>90.674999999999997</v>
      </c>
      <c r="J13" s="81">
        <v>95</v>
      </c>
      <c r="K13" s="81">
        <v>99.075000000000003</v>
      </c>
      <c r="L13" s="81">
        <v>99.6</v>
      </c>
      <c r="M13" s="81">
        <v>101.72499999999999</v>
      </c>
      <c r="N13" s="81">
        <v>100</v>
      </c>
      <c r="O13" s="81">
        <v>100.125</v>
      </c>
      <c r="P13" s="81">
        <v>102.6</v>
      </c>
      <c r="Q13" s="81">
        <v>107.075</v>
      </c>
      <c r="R13" s="81">
        <v>110.8</v>
      </c>
      <c r="S13" s="81">
        <v>113.45</v>
      </c>
      <c r="T13" s="81">
        <v>117.4</v>
      </c>
      <c r="U13" s="81">
        <v>120.4</v>
      </c>
      <c r="V13" s="81">
        <v>120.15</v>
      </c>
      <c r="W13" s="81">
        <v>123.8</v>
      </c>
      <c r="X13" s="81">
        <v>147.25</v>
      </c>
      <c r="Y13" s="109">
        <v>167.4</v>
      </c>
      <c r="Z13" s="109">
        <v>167</v>
      </c>
    </row>
    <row r="14" spans="1:26">
      <c r="C14" s="12" t="s">
        <v>159</v>
      </c>
      <c r="D14" s="60" t="s">
        <v>156</v>
      </c>
      <c r="E14" s="81">
        <v>88.4</v>
      </c>
      <c r="F14" s="81">
        <v>90.375</v>
      </c>
      <c r="G14" s="81">
        <v>92.275000000000006</v>
      </c>
      <c r="H14" s="81">
        <v>91.875</v>
      </c>
      <c r="I14" s="81">
        <v>90.525000000000006</v>
      </c>
      <c r="J14" s="81">
        <v>96.375</v>
      </c>
      <c r="K14" s="81">
        <v>102.77500000000001</v>
      </c>
      <c r="L14" s="81">
        <v>103.15</v>
      </c>
      <c r="M14" s="81">
        <v>106.8</v>
      </c>
      <c r="N14" s="81">
        <v>99.974999999999994</v>
      </c>
      <c r="O14" s="81">
        <v>98.625</v>
      </c>
      <c r="P14" s="81">
        <v>102.95</v>
      </c>
      <c r="Q14" s="81">
        <v>109.15</v>
      </c>
      <c r="R14" s="81">
        <v>110.325</v>
      </c>
      <c r="S14" s="81">
        <v>110.675</v>
      </c>
      <c r="T14" s="81">
        <v>114.25</v>
      </c>
      <c r="U14" s="81">
        <v>117.75</v>
      </c>
      <c r="V14" s="81">
        <v>118.52500000000001</v>
      </c>
      <c r="W14" s="81">
        <v>124.35</v>
      </c>
      <c r="X14" s="81">
        <v>168.65</v>
      </c>
      <c r="Y14" s="109">
        <v>182.625</v>
      </c>
      <c r="Z14" s="109">
        <v>168.9</v>
      </c>
    </row>
    <row r="15" spans="1:26">
      <c r="C15" s="12" t="s">
        <v>158</v>
      </c>
      <c r="D15" s="60" t="s">
        <v>156</v>
      </c>
      <c r="E15" s="81">
        <v>91.224999999999994</v>
      </c>
      <c r="F15" s="81">
        <v>93.525000000000006</v>
      </c>
      <c r="G15" s="81">
        <v>96.125</v>
      </c>
      <c r="H15" s="81">
        <v>94</v>
      </c>
      <c r="I15" s="81">
        <v>94.724999999999994</v>
      </c>
      <c r="J15" s="81">
        <v>95.9</v>
      </c>
      <c r="K15" s="81">
        <v>98.3</v>
      </c>
      <c r="L15" s="81">
        <v>99.7</v>
      </c>
      <c r="M15" s="81">
        <v>100</v>
      </c>
      <c r="N15" s="81">
        <v>99.974999999999994</v>
      </c>
      <c r="O15" s="81">
        <v>102.575</v>
      </c>
      <c r="P15" s="81">
        <v>105.575</v>
      </c>
      <c r="Q15" s="81">
        <v>111.77500000000001</v>
      </c>
      <c r="R15" s="81">
        <v>113.45</v>
      </c>
      <c r="S15" s="81">
        <v>115.4</v>
      </c>
      <c r="T15" s="81">
        <v>119.05</v>
      </c>
      <c r="U15" s="81">
        <v>123.15</v>
      </c>
      <c r="V15" s="81">
        <v>124.825</v>
      </c>
      <c r="W15" s="81">
        <v>127.625</v>
      </c>
      <c r="X15" s="81">
        <v>156.25</v>
      </c>
      <c r="Y15" s="109">
        <v>183.25</v>
      </c>
      <c r="Z15" s="109">
        <v>180.125</v>
      </c>
    </row>
    <row r="16" spans="1:26">
      <c r="C16" s="12" t="s">
        <v>160</v>
      </c>
      <c r="D16" s="60" t="s">
        <v>156</v>
      </c>
      <c r="E16" s="81">
        <v>94.65</v>
      </c>
      <c r="F16" s="81">
        <v>95.125</v>
      </c>
      <c r="G16" s="81">
        <v>95.525000000000006</v>
      </c>
      <c r="H16" s="81">
        <v>96.125</v>
      </c>
      <c r="I16" s="81">
        <v>95.45</v>
      </c>
      <c r="J16" s="81">
        <v>95.775000000000006</v>
      </c>
      <c r="K16" s="81">
        <v>97.575000000000003</v>
      </c>
      <c r="L16" s="81">
        <v>100.6</v>
      </c>
      <c r="M16" s="81">
        <v>100.45</v>
      </c>
      <c r="N16" s="81">
        <v>100.02500000000001</v>
      </c>
      <c r="O16" s="81">
        <v>99.2</v>
      </c>
      <c r="P16" s="81">
        <v>102.625</v>
      </c>
      <c r="Q16" s="81">
        <v>108.5</v>
      </c>
      <c r="R16" s="81">
        <v>111.425</v>
      </c>
      <c r="S16" s="81">
        <v>114.05</v>
      </c>
      <c r="T16" s="81">
        <v>115.925</v>
      </c>
      <c r="U16" s="81">
        <v>120.5</v>
      </c>
      <c r="V16" s="81">
        <v>120.925</v>
      </c>
      <c r="W16" s="81">
        <v>128.4</v>
      </c>
      <c r="X16" s="81">
        <v>148.75</v>
      </c>
      <c r="Y16" s="109">
        <v>173.82499999999999</v>
      </c>
      <c r="Z16" s="109">
        <v>178.6</v>
      </c>
    </row>
    <row r="17" spans="1:26">
      <c r="C17" s="12" t="s">
        <v>161</v>
      </c>
      <c r="D17" s="60" t="s">
        <v>156</v>
      </c>
      <c r="E17" s="81">
        <v>73.75</v>
      </c>
      <c r="F17" s="81">
        <v>77.825000000000003</v>
      </c>
      <c r="G17" s="81">
        <v>79.875</v>
      </c>
      <c r="H17" s="81">
        <v>83.05</v>
      </c>
      <c r="I17" s="81">
        <v>86.85</v>
      </c>
      <c r="J17" s="81">
        <v>92.275000000000006</v>
      </c>
      <c r="K17" s="81">
        <v>97.4</v>
      </c>
      <c r="L17" s="81">
        <v>96.25</v>
      </c>
      <c r="M17" s="81">
        <v>97.974999999999994</v>
      </c>
      <c r="N17" s="81">
        <v>100</v>
      </c>
      <c r="O17" s="81">
        <v>100.325</v>
      </c>
      <c r="P17" s="81">
        <v>103.925</v>
      </c>
      <c r="Q17" s="81">
        <v>109.05</v>
      </c>
      <c r="R17" s="81">
        <v>115.02500000000001</v>
      </c>
      <c r="S17" s="81">
        <v>121.2</v>
      </c>
      <c r="T17" s="81">
        <v>124.8</v>
      </c>
      <c r="U17" s="81">
        <v>126.97499999999999</v>
      </c>
      <c r="V17" s="81">
        <v>129.05000000000001</v>
      </c>
      <c r="W17" s="81">
        <v>134.875</v>
      </c>
      <c r="X17" s="81">
        <v>162.1</v>
      </c>
      <c r="Y17" s="109">
        <v>203.3</v>
      </c>
      <c r="Z17" s="109">
        <v>209</v>
      </c>
    </row>
    <row r="18" spans="1:26">
      <c r="C18" s="12" t="s">
        <v>157</v>
      </c>
      <c r="D18" s="60" t="s">
        <v>156</v>
      </c>
      <c r="E18" s="81">
        <v>81.25</v>
      </c>
      <c r="F18" s="81">
        <v>83.875</v>
      </c>
      <c r="G18" s="81">
        <v>84.974999999999994</v>
      </c>
      <c r="H18" s="81">
        <v>86.075000000000003</v>
      </c>
      <c r="I18" s="81">
        <v>90.45</v>
      </c>
      <c r="J18" s="81">
        <v>93.95</v>
      </c>
      <c r="K18" s="81">
        <v>98.4</v>
      </c>
      <c r="L18" s="81">
        <v>98.85</v>
      </c>
      <c r="M18" s="81">
        <v>100.02500000000001</v>
      </c>
      <c r="N18" s="81">
        <v>100</v>
      </c>
      <c r="O18" s="81">
        <v>101.35</v>
      </c>
      <c r="P18" s="81">
        <v>100.925</v>
      </c>
      <c r="Q18" s="81">
        <v>101.9</v>
      </c>
      <c r="R18" s="81">
        <v>104.02500000000001</v>
      </c>
      <c r="S18" s="81">
        <v>107.625</v>
      </c>
      <c r="T18" s="81">
        <v>112.02500000000001</v>
      </c>
      <c r="U18" s="81">
        <v>112.65</v>
      </c>
      <c r="V18" s="81">
        <v>113.075</v>
      </c>
      <c r="W18" s="81">
        <v>114.35</v>
      </c>
      <c r="X18" s="81">
        <v>121.6</v>
      </c>
      <c r="Y18" s="109">
        <v>133.19999999999999</v>
      </c>
      <c r="Z18" s="109">
        <v>138.77500000000001</v>
      </c>
    </row>
    <row r="19" spans="1:26">
      <c r="C19" s="12" t="s">
        <v>163</v>
      </c>
      <c r="D19" s="60" t="s">
        <v>156</v>
      </c>
      <c r="E19" s="81">
        <v>70.575000000000003</v>
      </c>
      <c r="F19" s="81">
        <v>74.400000000000006</v>
      </c>
      <c r="G19" s="81">
        <v>77.400000000000006</v>
      </c>
      <c r="H19" s="81">
        <v>80.55</v>
      </c>
      <c r="I19" s="81">
        <v>83.1</v>
      </c>
      <c r="J19" s="81">
        <v>86.65</v>
      </c>
      <c r="K19" s="81">
        <v>92.75</v>
      </c>
      <c r="L19" s="81">
        <v>91.65</v>
      </c>
      <c r="M19" s="81">
        <v>93.8</v>
      </c>
      <c r="N19" s="81">
        <v>99.974999999999994</v>
      </c>
      <c r="O19" s="81">
        <v>101.125</v>
      </c>
      <c r="P19" s="81">
        <v>101.65</v>
      </c>
      <c r="Q19" s="81">
        <v>102.325</v>
      </c>
      <c r="R19" s="81">
        <v>104.25</v>
      </c>
      <c r="S19" s="81">
        <v>106.175</v>
      </c>
      <c r="T19" s="81">
        <v>107.65</v>
      </c>
      <c r="U19" s="81">
        <v>109.3</v>
      </c>
      <c r="V19" s="81">
        <v>108.72499999999999</v>
      </c>
      <c r="W19" s="81">
        <v>108.22499999999999</v>
      </c>
      <c r="X19" s="81">
        <v>110.47499999999999</v>
      </c>
      <c r="Y19" s="109">
        <v>126.175</v>
      </c>
      <c r="Z19" s="109">
        <v>135.22499999999999</v>
      </c>
    </row>
    <row r="20" spans="1:26">
      <c r="C20" s="12" t="s">
        <v>164</v>
      </c>
      <c r="D20" s="60" t="s">
        <v>156</v>
      </c>
      <c r="E20" s="81">
        <v>76.05</v>
      </c>
      <c r="F20" s="81">
        <v>78.825000000000003</v>
      </c>
      <c r="G20" s="81">
        <v>83.4</v>
      </c>
      <c r="H20" s="81">
        <v>83.9</v>
      </c>
      <c r="I20" s="81">
        <v>85.1</v>
      </c>
      <c r="J20" s="81">
        <v>87.4</v>
      </c>
      <c r="K20" s="81">
        <v>90.674999999999997</v>
      </c>
      <c r="L20" s="81">
        <v>94.6</v>
      </c>
      <c r="M20" s="81">
        <v>97.25</v>
      </c>
      <c r="N20" s="81">
        <v>100</v>
      </c>
      <c r="O20" s="81">
        <v>100.8</v>
      </c>
      <c r="P20" s="81">
        <v>101.75</v>
      </c>
      <c r="Q20" s="81">
        <v>105.325</v>
      </c>
      <c r="R20" s="81">
        <v>106.825</v>
      </c>
      <c r="S20" s="81">
        <v>108.8</v>
      </c>
      <c r="T20" s="81">
        <v>111.72499999999999</v>
      </c>
      <c r="U20" s="81">
        <v>114.4</v>
      </c>
      <c r="V20" s="81">
        <v>117.97499999999999</v>
      </c>
      <c r="W20" s="81">
        <v>120</v>
      </c>
      <c r="X20" s="81">
        <v>127.4</v>
      </c>
      <c r="Y20" s="109">
        <v>143.52500000000001</v>
      </c>
      <c r="Z20" s="109">
        <v>155.125</v>
      </c>
    </row>
    <row r="21" spans="1:26">
      <c r="C21" s="12" t="s">
        <v>165</v>
      </c>
      <c r="D21" s="60" t="s">
        <v>156</v>
      </c>
      <c r="E21" s="81">
        <v>73.575000000000003</v>
      </c>
      <c r="F21" s="81">
        <v>76.825000000000003</v>
      </c>
      <c r="G21" s="81">
        <v>78.625</v>
      </c>
      <c r="H21" s="81">
        <v>79.849999999999994</v>
      </c>
      <c r="I21" s="81">
        <v>81.775000000000006</v>
      </c>
      <c r="J21" s="81">
        <v>84.525000000000006</v>
      </c>
      <c r="K21" s="81">
        <v>88.15</v>
      </c>
      <c r="L21" s="81">
        <v>91.375</v>
      </c>
      <c r="M21" s="81">
        <v>96.575000000000003</v>
      </c>
      <c r="N21" s="81">
        <v>100.02500000000001</v>
      </c>
      <c r="O21" s="81">
        <v>106.1</v>
      </c>
      <c r="P21" s="81">
        <v>108.47499999999999</v>
      </c>
      <c r="Q21" s="81">
        <v>112.05</v>
      </c>
      <c r="R21" s="81">
        <v>117.22499999999999</v>
      </c>
      <c r="S21" s="81">
        <v>119.8</v>
      </c>
      <c r="T21" s="81">
        <v>122.325</v>
      </c>
      <c r="U21" s="81">
        <v>125.5</v>
      </c>
      <c r="V21" s="81">
        <v>128</v>
      </c>
      <c r="W21" s="81">
        <v>132.25</v>
      </c>
      <c r="X21" s="81">
        <v>144.375</v>
      </c>
      <c r="Y21" s="109">
        <v>163.82499999999999</v>
      </c>
      <c r="Z21" s="109">
        <v>174.82499999999999</v>
      </c>
    </row>
    <row r="22" spans="1:26">
      <c r="C22" s="12" t="s">
        <v>166</v>
      </c>
      <c r="D22" s="60" t="s">
        <v>156</v>
      </c>
      <c r="E22" s="81">
        <v>68.650000000000006</v>
      </c>
      <c r="F22" s="81">
        <v>72.424999999999997</v>
      </c>
      <c r="G22" s="81">
        <v>87.924999999999997</v>
      </c>
      <c r="H22" s="81">
        <v>89.775000000000006</v>
      </c>
      <c r="I22" s="81">
        <v>89.775000000000006</v>
      </c>
      <c r="J22" s="81">
        <v>93.6</v>
      </c>
      <c r="K22" s="81">
        <v>145.02500000000001</v>
      </c>
      <c r="L22" s="81">
        <v>113.15</v>
      </c>
      <c r="M22" s="81">
        <v>102.02500000000001</v>
      </c>
      <c r="N22" s="81">
        <v>99.974999999999994</v>
      </c>
      <c r="O22" s="81">
        <v>98.825000000000003</v>
      </c>
      <c r="P22" s="81">
        <v>93.825000000000003</v>
      </c>
      <c r="Q22" s="81">
        <v>91.125</v>
      </c>
      <c r="R22" s="81">
        <v>90.15</v>
      </c>
      <c r="S22" s="81">
        <v>86.95</v>
      </c>
      <c r="T22" s="81">
        <v>94.45</v>
      </c>
      <c r="U22" s="81">
        <v>101.45</v>
      </c>
      <c r="V22" s="81">
        <v>98.65</v>
      </c>
      <c r="W22" s="81">
        <v>102.72499999999999</v>
      </c>
      <c r="X22" s="81">
        <v>144.55000000000001</v>
      </c>
      <c r="Y22" s="109">
        <v>157.875</v>
      </c>
      <c r="Z22" s="109">
        <v>148.97499999999999</v>
      </c>
    </row>
    <row r="23" spans="1:26">
      <c r="C23" s="12" t="s">
        <v>167</v>
      </c>
      <c r="D23" s="60" t="s">
        <v>156</v>
      </c>
      <c r="E23" s="81">
        <v>77.05</v>
      </c>
      <c r="F23" s="81">
        <v>79.3</v>
      </c>
      <c r="G23" s="81">
        <v>82</v>
      </c>
      <c r="H23" s="81">
        <v>83.875</v>
      </c>
      <c r="I23" s="81">
        <v>86.8</v>
      </c>
      <c r="J23" s="81">
        <v>89.8</v>
      </c>
      <c r="K23" s="81">
        <v>95.674999999999997</v>
      </c>
      <c r="L23" s="81">
        <v>96.6</v>
      </c>
      <c r="M23" s="81">
        <v>98.674999999999997</v>
      </c>
      <c r="N23" s="81">
        <v>100.02500000000001</v>
      </c>
      <c r="O23" s="81">
        <v>101.22499999999999</v>
      </c>
      <c r="P23" s="81">
        <v>102.425</v>
      </c>
      <c r="Q23" s="81">
        <v>105.675</v>
      </c>
      <c r="R23" s="81">
        <v>109.075</v>
      </c>
      <c r="S23" s="81">
        <v>111.6</v>
      </c>
      <c r="T23" s="81">
        <v>114.65</v>
      </c>
      <c r="U23" s="81">
        <v>117.72499999999999</v>
      </c>
      <c r="V23" s="81">
        <v>118.95</v>
      </c>
      <c r="W23" s="81">
        <v>121.925</v>
      </c>
      <c r="X23" s="81">
        <v>138</v>
      </c>
      <c r="Y23" s="109">
        <v>154.69999999999999</v>
      </c>
      <c r="Z23" s="109">
        <v>158.22499999999999</v>
      </c>
    </row>
    <row r="24" spans="1:26">
      <c r="A24" t="s">
        <v>2</v>
      </c>
      <c r="D24" s="61"/>
      <c r="E24" s="81"/>
      <c r="F24" s="81"/>
      <c r="G24" s="81"/>
      <c r="H24" s="81"/>
      <c r="I24" s="81"/>
      <c r="J24" s="81"/>
      <c r="K24" s="81"/>
      <c r="L24" s="81"/>
      <c r="M24" s="81"/>
      <c r="N24" s="81"/>
      <c r="O24" s="81"/>
      <c r="P24" s="81"/>
      <c r="Q24" s="81"/>
      <c r="R24" s="81"/>
      <c r="S24" s="81"/>
      <c r="T24" s="81"/>
      <c r="U24" s="81"/>
      <c r="V24" s="81"/>
      <c r="W24" s="81"/>
      <c r="X24" s="81"/>
    </row>
    <row r="25" spans="1:26">
      <c r="B25" s="22" t="s">
        <v>239</v>
      </c>
      <c r="D25" s="61"/>
      <c r="E25" s="81"/>
      <c r="F25" s="81"/>
      <c r="G25" s="81"/>
      <c r="H25" s="81"/>
      <c r="I25" s="81"/>
      <c r="J25" s="81"/>
      <c r="K25" s="81"/>
      <c r="L25" s="81"/>
      <c r="M25" s="81"/>
      <c r="N25" s="81"/>
      <c r="O25" s="81"/>
      <c r="P25" s="81"/>
      <c r="Q25" s="81"/>
      <c r="R25" s="81"/>
      <c r="S25" s="81"/>
      <c r="T25" s="81"/>
      <c r="U25" s="81"/>
      <c r="V25" s="81"/>
      <c r="W25" s="81"/>
      <c r="X25" s="81"/>
      <c r="Y25" s="109"/>
      <c r="Z25" s="109"/>
    </row>
    <row r="26" spans="1:26">
      <c r="C26" s="24" t="s">
        <v>110</v>
      </c>
      <c r="D26" s="60" t="s">
        <v>156</v>
      </c>
      <c r="E26" s="81">
        <v>71.05</v>
      </c>
      <c r="F26" s="81">
        <v>72.775000000000006</v>
      </c>
      <c r="G26" s="81">
        <v>75.174999999999997</v>
      </c>
      <c r="H26" s="81">
        <v>79.45</v>
      </c>
      <c r="I26" s="81">
        <v>80.3</v>
      </c>
      <c r="J26" s="81">
        <v>82.95</v>
      </c>
      <c r="K26" s="81">
        <v>88.025000000000006</v>
      </c>
      <c r="L26" s="81">
        <v>92.525000000000006</v>
      </c>
      <c r="M26" s="81">
        <v>96.55</v>
      </c>
      <c r="N26" s="81">
        <v>99.974999999999994</v>
      </c>
      <c r="O26" s="81">
        <v>101.85</v>
      </c>
      <c r="P26" s="81">
        <v>103.9</v>
      </c>
      <c r="Q26" s="81">
        <v>106.15</v>
      </c>
      <c r="R26" s="81">
        <v>106.72499999999999</v>
      </c>
      <c r="S26" s="81">
        <v>105.77500000000001</v>
      </c>
      <c r="T26" s="81">
        <v>106.45</v>
      </c>
      <c r="U26" s="81">
        <v>111.15</v>
      </c>
      <c r="V26" s="81">
        <v>112.175</v>
      </c>
      <c r="W26" s="81">
        <v>112.125</v>
      </c>
      <c r="X26" s="81">
        <v>119.47499999999999</v>
      </c>
      <c r="Y26" s="109">
        <v>135.57499999999999</v>
      </c>
      <c r="Z26" s="109">
        <v>143.47499999999999</v>
      </c>
    </row>
    <row r="27" spans="1:26">
      <c r="C27" s="24" t="s">
        <v>112</v>
      </c>
      <c r="D27" s="60" t="s">
        <v>156</v>
      </c>
      <c r="E27" s="81">
        <v>70.75</v>
      </c>
      <c r="F27" s="81">
        <v>61.075000000000003</v>
      </c>
      <c r="G27" s="81">
        <v>66.075000000000003</v>
      </c>
      <c r="H27" s="81">
        <v>71.5</v>
      </c>
      <c r="I27" s="81">
        <v>76.974999999999994</v>
      </c>
      <c r="J27" s="81">
        <v>78.45</v>
      </c>
      <c r="K27" s="81">
        <v>104.875</v>
      </c>
      <c r="L27" s="81">
        <v>99.674999999999997</v>
      </c>
      <c r="M27" s="81">
        <v>100.8</v>
      </c>
      <c r="N27" s="81">
        <v>100</v>
      </c>
      <c r="O27" s="81">
        <v>98.174999999999997</v>
      </c>
      <c r="P27" s="81">
        <v>107.8</v>
      </c>
      <c r="Q27" s="81">
        <v>118.25</v>
      </c>
      <c r="R27" s="81">
        <v>125</v>
      </c>
      <c r="S27" s="81">
        <v>125.7</v>
      </c>
      <c r="T27" s="81">
        <v>144.1</v>
      </c>
      <c r="U27" s="81">
        <v>158.80000000000001</v>
      </c>
      <c r="V27" s="81">
        <v>152.25</v>
      </c>
      <c r="W27" s="81">
        <v>151.5</v>
      </c>
      <c r="X27" s="81">
        <v>170.17500000000001</v>
      </c>
      <c r="Y27" s="109">
        <v>185.15</v>
      </c>
      <c r="Z27" s="109">
        <v>176.07499999999999</v>
      </c>
    </row>
    <row r="28" spans="1:26">
      <c r="C28" s="24" t="s">
        <v>116</v>
      </c>
      <c r="D28" s="60" t="s">
        <v>156</v>
      </c>
      <c r="E28" s="81">
        <v>80.7</v>
      </c>
      <c r="F28" s="81">
        <v>81.8</v>
      </c>
      <c r="G28" s="81">
        <v>84.724999999999994</v>
      </c>
      <c r="H28" s="81">
        <v>86.45</v>
      </c>
      <c r="I28" s="81">
        <v>83.625</v>
      </c>
      <c r="J28" s="81">
        <v>88.075000000000003</v>
      </c>
      <c r="K28" s="81">
        <v>98.025000000000006</v>
      </c>
      <c r="L28" s="81">
        <v>100.925</v>
      </c>
      <c r="M28" s="81">
        <v>100.425</v>
      </c>
      <c r="N28" s="81">
        <v>100</v>
      </c>
      <c r="O28" s="81">
        <v>101.45</v>
      </c>
      <c r="P28" s="81">
        <v>104.77500000000001</v>
      </c>
      <c r="Q28" s="81">
        <v>105.5</v>
      </c>
      <c r="R28" s="81">
        <v>106.5</v>
      </c>
      <c r="S28" s="81">
        <v>107.47499999999999</v>
      </c>
      <c r="T28" s="81">
        <v>109.075</v>
      </c>
      <c r="U28" s="81">
        <v>110.4</v>
      </c>
      <c r="V28" s="81">
        <v>109.77500000000001</v>
      </c>
      <c r="W28" s="81">
        <v>110.65</v>
      </c>
      <c r="X28" s="81">
        <v>120.47499999999999</v>
      </c>
      <c r="Y28" s="109">
        <v>132.32499999999999</v>
      </c>
      <c r="Z28" s="109">
        <v>134.35</v>
      </c>
    </row>
    <row r="29" spans="1:26">
      <c r="C29" s="24" t="s">
        <v>123</v>
      </c>
      <c r="D29" s="60" t="s">
        <v>156</v>
      </c>
      <c r="E29" s="81">
        <v>116.25</v>
      </c>
      <c r="F29" s="81">
        <v>106.375</v>
      </c>
      <c r="G29" s="81">
        <v>101.5</v>
      </c>
      <c r="H29" s="81">
        <v>102.75</v>
      </c>
      <c r="I29" s="81">
        <v>105.825</v>
      </c>
      <c r="J29" s="81">
        <v>101.8</v>
      </c>
      <c r="K29" s="81">
        <v>107.02500000000001</v>
      </c>
      <c r="L29" s="81">
        <v>100.52500000000001</v>
      </c>
      <c r="M29" s="81">
        <v>99.224999999999994</v>
      </c>
      <c r="N29" s="81">
        <v>100</v>
      </c>
      <c r="O29" s="81">
        <v>99.974999999999994</v>
      </c>
      <c r="P29" s="81">
        <v>101.8</v>
      </c>
      <c r="Q29" s="81">
        <v>103.05</v>
      </c>
      <c r="R29" s="81">
        <v>109.1</v>
      </c>
      <c r="S29" s="81">
        <v>108.22499999999999</v>
      </c>
      <c r="T29" s="81">
        <v>112.45</v>
      </c>
      <c r="U29" s="81">
        <v>118.95</v>
      </c>
      <c r="V29" s="81">
        <v>121.1</v>
      </c>
      <c r="W29" s="81">
        <v>118.25</v>
      </c>
      <c r="X29" s="81">
        <v>128.57499999999999</v>
      </c>
      <c r="Y29" s="109">
        <v>152.6</v>
      </c>
      <c r="Z29" s="109">
        <v>149.35</v>
      </c>
    </row>
    <row r="30" spans="1:26">
      <c r="C30" s="24" t="s">
        <v>169</v>
      </c>
      <c r="D30" s="60" t="s">
        <v>156</v>
      </c>
      <c r="E30" s="81">
        <v>75.3</v>
      </c>
      <c r="F30" s="81">
        <v>72.45</v>
      </c>
      <c r="G30" s="81">
        <v>77.45</v>
      </c>
      <c r="H30" s="81">
        <v>82.1</v>
      </c>
      <c r="I30" s="81">
        <v>86.825000000000003</v>
      </c>
      <c r="J30" s="81">
        <v>90.7</v>
      </c>
      <c r="K30" s="81">
        <v>97.1</v>
      </c>
      <c r="L30" s="81">
        <v>90.5</v>
      </c>
      <c r="M30" s="81">
        <v>96.825000000000003</v>
      </c>
      <c r="N30" s="81">
        <v>100.8</v>
      </c>
      <c r="O30" s="81">
        <v>99.05</v>
      </c>
      <c r="P30" s="81">
        <v>101.5</v>
      </c>
      <c r="Q30" s="81">
        <v>99.674999999999997</v>
      </c>
      <c r="R30" s="81">
        <v>98.325000000000003</v>
      </c>
      <c r="S30" s="81">
        <v>101.1</v>
      </c>
      <c r="T30" s="81">
        <v>104.9</v>
      </c>
      <c r="U30" s="81">
        <v>110.6</v>
      </c>
      <c r="V30" s="81">
        <v>114.7</v>
      </c>
      <c r="W30" s="81">
        <v>117.35</v>
      </c>
      <c r="X30" s="81">
        <v>135.42500000000001</v>
      </c>
      <c r="Y30" s="109">
        <v>145.17500000000001</v>
      </c>
      <c r="Z30" s="109">
        <v>143.75</v>
      </c>
    </row>
    <row r="31" spans="1:26">
      <c r="A31" t="s">
        <v>2</v>
      </c>
      <c r="D31" s="61"/>
      <c r="E31" s="81"/>
      <c r="F31" s="81"/>
      <c r="G31" s="81"/>
      <c r="H31" s="81"/>
      <c r="I31" s="81"/>
      <c r="J31" s="81"/>
      <c r="K31" s="81"/>
      <c r="L31" s="81"/>
      <c r="M31" s="81"/>
      <c r="N31" s="81"/>
      <c r="O31" s="81"/>
      <c r="P31" s="81"/>
      <c r="Q31" s="81"/>
      <c r="R31" s="81"/>
      <c r="S31" s="81"/>
      <c r="T31" s="81"/>
      <c r="U31" s="81"/>
      <c r="V31" s="81"/>
      <c r="W31" s="81"/>
      <c r="X31" s="81"/>
      <c r="Y31" s="109"/>
      <c r="Z31" s="109"/>
    </row>
    <row r="32" spans="1:26">
      <c r="B32" s="22" t="s">
        <v>240</v>
      </c>
      <c r="D32" s="61"/>
      <c r="E32" s="81"/>
      <c r="F32" s="81"/>
      <c r="G32" s="81"/>
      <c r="H32" s="81"/>
      <c r="I32" s="81"/>
      <c r="J32" s="81"/>
      <c r="K32" s="81"/>
      <c r="L32" s="81"/>
      <c r="M32" s="81"/>
      <c r="N32" s="81"/>
      <c r="O32" s="81"/>
      <c r="P32" s="81"/>
      <c r="Q32" s="81"/>
      <c r="R32" s="81"/>
      <c r="S32" s="81"/>
      <c r="T32" s="81"/>
      <c r="U32" s="81"/>
      <c r="V32" s="81"/>
      <c r="W32" s="81"/>
      <c r="X32" s="81"/>
      <c r="Y32" s="109"/>
      <c r="Z32" s="109"/>
    </row>
    <row r="33" spans="1:26">
      <c r="C33" s="24" t="s">
        <v>113</v>
      </c>
      <c r="D33" s="60" t="s">
        <v>156</v>
      </c>
      <c r="E33" s="81">
        <v>69.2</v>
      </c>
      <c r="F33" s="81">
        <v>74.224999999999994</v>
      </c>
      <c r="G33" s="81">
        <v>78.025000000000006</v>
      </c>
      <c r="H33" s="81">
        <v>80.325000000000003</v>
      </c>
      <c r="I33" s="81">
        <v>87.875</v>
      </c>
      <c r="J33" s="81">
        <v>91.9</v>
      </c>
      <c r="K33" s="81">
        <v>97.924999999999997</v>
      </c>
      <c r="L33" s="81">
        <v>97.65</v>
      </c>
      <c r="M33" s="81">
        <v>99.15</v>
      </c>
      <c r="N33" s="81">
        <v>100.02500000000001</v>
      </c>
      <c r="O33" s="81">
        <v>100.925</v>
      </c>
      <c r="P33" s="81">
        <v>102.27500000000001</v>
      </c>
      <c r="Q33" s="81">
        <v>107.175</v>
      </c>
      <c r="R33" s="81">
        <v>112.55</v>
      </c>
      <c r="S33" s="81">
        <v>118.55</v>
      </c>
      <c r="T33" s="81">
        <v>120.4</v>
      </c>
      <c r="U33" s="81">
        <v>127.65</v>
      </c>
      <c r="V33" s="81">
        <v>131.05000000000001</v>
      </c>
      <c r="W33" s="81">
        <v>140.80000000000001</v>
      </c>
      <c r="X33" s="81">
        <v>164.3</v>
      </c>
      <c r="Y33" s="109">
        <v>209.625</v>
      </c>
      <c r="Z33" s="109">
        <v>222.2</v>
      </c>
    </row>
    <row r="34" spans="1:26">
      <c r="C34" s="24" t="s">
        <v>115</v>
      </c>
      <c r="D34" s="60" t="s">
        <v>156</v>
      </c>
      <c r="E34" s="81">
        <v>87.6</v>
      </c>
      <c r="F34" s="81">
        <v>90.15</v>
      </c>
      <c r="G34" s="81">
        <v>92.575000000000003</v>
      </c>
      <c r="H34" s="81">
        <v>90.4</v>
      </c>
      <c r="I34" s="81">
        <v>90.825000000000003</v>
      </c>
      <c r="J34" s="81">
        <v>100.3</v>
      </c>
      <c r="K34" s="81">
        <v>101.6</v>
      </c>
      <c r="L34" s="81">
        <v>99.25</v>
      </c>
      <c r="M34" s="81">
        <v>104.375</v>
      </c>
      <c r="N34" s="81">
        <v>99.974999999999994</v>
      </c>
      <c r="O34" s="81">
        <v>98.4</v>
      </c>
      <c r="P34" s="81">
        <v>105.75</v>
      </c>
      <c r="Q34" s="81">
        <v>113.22499999999999</v>
      </c>
      <c r="R34" s="81">
        <v>112.325</v>
      </c>
      <c r="S34" s="81">
        <v>110.5</v>
      </c>
      <c r="T34" s="81">
        <v>116.925</v>
      </c>
      <c r="U34" s="81">
        <v>125.5</v>
      </c>
      <c r="V34" s="81">
        <v>127.35</v>
      </c>
      <c r="W34" s="81">
        <v>134.02500000000001</v>
      </c>
      <c r="X34" s="81">
        <v>171.95</v>
      </c>
      <c r="Y34" s="109">
        <v>188.52500000000001</v>
      </c>
      <c r="Z34" s="109">
        <v>185.67500000000001</v>
      </c>
    </row>
    <row r="35" spans="1:26">
      <c r="C35" s="24" t="s">
        <v>114</v>
      </c>
      <c r="D35" s="60" t="s">
        <v>156</v>
      </c>
      <c r="E35" s="81">
        <v>83.275000000000006</v>
      </c>
      <c r="F35" s="81">
        <v>86.45</v>
      </c>
      <c r="G35" s="81">
        <v>87.1</v>
      </c>
      <c r="H35" s="81">
        <v>88.4</v>
      </c>
      <c r="I35" s="81">
        <v>89.3</v>
      </c>
      <c r="J35" s="81">
        <v>93.95</v>
      </c>
      <c r="K35" s="81">
        <v>101.7</v>
      </c>
      <c r="L35" s="81">
        <v>101.2</v>
      </c>
      <c r="M35" s="81">
        <v>101.25</v>
      </c>
      <c r="N35" s="81">
        <v>99.974999999999994</v>
      </c>
      <c r="O35" s="81">
        <v>97.7</v>
      </c>
      <c r="P35" s="81">
        <v>103.425</v>
      </c>
      <c r="Q35" s="81">
        <v>108.125</v>
      </c>
      <c r="R35" s="81">
        <v>105.25</v>
      </c>
      <c r="S35" s="81">
        <v>111.47499999999999</v>
      </c>
      <c r="T35" s="81">
        <v>119.72499999999999</v>
      </c>
      <c r="U35" s="81">
        <v>135.25</v>
      </c>
      <c r="V35" s="81">
        <v>138.15</v>
      </c>
      <c r="W35" s="81">
        <v>133.72499999999999</v>
      </c>
      <c r="X35" s="81">
        <v>163.85</v>
      </c>
      <c r="Y35" s="109">
        <v>175</v>
      </c>
      <c r="Z35" s="109">
        <v>180.875</v>
      </c>
    </row>
    <row r="36" spans="1:26">
      <c r="C36" s="24" t="s">
        <v>119</v>
      </c>
      <c r="D36" s="60" t="s">
        <v>156</v>
      </c>
      <c r="E36" s="81">
        <v>83.825000000000003</v>
      </c>
      <c r="F36" s="81">
        <v>86.974999999999994</v>
      </c>
      <c r="G36" s="81">
        <v>87.15</v>
      </c>
      <c r="H36" s="81">
        <v>89.05</v>
      </c>
      <c r="I36" s="81">
        <v>91.2</v>
      </c>
      <c r="J36" s="81">
        <v>95.05</v>
      </c>
      <c r="K36" s="81">
        <v>97.974999999999994</v>
      </c>
      <c r="L36" s="81">
        <v>99.125</v>
      </c>
      <c r="M36" s="81">
        <v>98.724999999999994</v>
      </c>
      <c r="N36" s="81">
        <v>99.974999999999994</v>
      </c>
      <c r="O36" s="81">
        <v>103.15</v>
      </c>
      <c r="P36" s="81">
        <v>103.25</v>
      </c>
      <c r="Q36" s="81">
        <v>104.72499999999999</v>
      </c>
      <c r="R36" s="81">
        <v>105.425</v>
      </c>
      <c r="S36" s="81">
        <v>105.4</v>
      </c>
      <c r="T36" s="81">
        <v>106.075</v>
      </c>
      <c r="U36" s="81">
        <v>106.175</v>
      </c>
      <c r="V36" s="81">
        <v>102.575</v>
      </c>
      <c r="W36" s="81">
        <v>104.4</v>
      </c>
      <c r="X36" s="81">
        <v>110.35</v>
      </c>
      <c r="Y36" s="109">
        <v>118.6</v>
      </c>
      <c r="Z36" s="109">
        <v>119.97499999999999</v>
      </c>
    </row>
    <row r="37" spans="1:26">
      <c r="C37" s="24" t="s">
        <v>120</v>
      </c>
      <c r="D37" s="60" t="s">
        <v>156</v>
      </c>
      <c r="E37" s="81">
        <v>78</v>
      </c>
      <c r="F37" s="81">
        <v>80.025000000000006</v>
      </c>
      <c r="G37" s="81">
        <v>82.924999999999997</v>
      </c>
      <c r="H37" s="81">
        <v>84.55</v>
      </c>
      <c r="I37" s="81">
        <v>81.8</v>
      </c>
      <c r="J37" s="81">
        <v>84.05</v>
      </c>
      <c r="K37" s="81">
        <v>92.4</v>
      </c>
      <c r="L37" s="81">
        <v>95.174999999999997</v>
      </c>
      <c r="M37" s="81">
        <v>98.2</v>
      </c>
      <c r="N37" s="81">
        <v>100</v>
      </c>
      <c r="O37" s="81">
        <v>102.7</v>
      </c>
      <c r="P37" s="81">
        <v>102.72499999999999</v>
      </c>
      <c r="Q37" s="81">
        <v>107.625</v>
      </c>
      <c r="R37" s="81">
        <v>109.85</v>
      </c>
      <c r="S37" s="81">
        <v>111.72499999999999</v>
      </c>
      <c r="T37" s="81">
        <v>114.25</v>
      </c>
      <c r="U37" s="81">
        <v>117.175</v>
      </c>
      <c r="V37" s="81">
        <v>116.35</v>
      </c>
      <c r="W37" s="81">
        <v>112.05</v>
      </c>
      <c r="X37" s="81">
        <v>135.75</v>
      </c>
      <c r="Y37" s="109">
        <v>168.02500000000001</v>
      </c>
      <c r="Z37" s="109">
        <v>165</v>
      </c>
    </row>
    <row r="38" spans="1:26">
      <c r="C38" s="24" t="s">
        <v>124</v>
      </c>
      <c r="D38" s="60" t="s">
        <v>156</v>
      </c>
      <c r="E38" s="81">
        <v>93.55</v>
      </c>
      <c r="F38" s="81">
        <v>88.974999999999994</v>
      </c>
      <c r="G38" s="81">
        <v>85.724999999999994</v>
      </c>
      <c r="H38" s="81">
        <v>85.525000000000006</v>
      </c>
      <c r="I38" s="81">
        <v>87.474999999999994</v>
      </c>
      <c r="J38" s="81">
        <v>87.3</v>
      </c>
      <c r="K38" s="81">
        <v>88.85</v>
      </c>
      <c r="L38" s="81">
        <v>98.55</v>
      </c>
      <c r="M38" s="81">
        <v>104.8</v>
      </c>
      <c r="N38" s="81">
        <v>100</v>
      </c>
      <c r="O38" s="81">
        <v>96.6</v>
      </c>
      <c r="P38" s="81">
        <v>98.275000000000006</v>
      </c>
      <c r="Q38" s="81">
        <v>96.275000000000006</v>
      </c>
      <c r="R38" s="81">
        <v>95.7</v>
      </c>
      <c r="S38" s="81">
        <v>94.974999999999994</v>
      </c>
      <c r="T38" s="81">
        <v>99.075000000000003</v>
      </c>
      <c r="U38" s="81">
        <v>102.3</v>
      </c>
      <c r="V38" s="81">
        <v>104.72499999999999</v>
      </c>
      <c r="W38" s="81">
        <v>103.75</v>
      </c>
      <c r="X38" s="81">
        <v>112.175</v>
      </c>
      <c r="Y38" s="109">
        <v>134.52500000000001</v>
      </c>
      <c r="Z38" s="109">
        <v>141.92500000000001</v>
      </c>
    </row>
    <row r="39" spans="1:26">
      <c r="C39" s="24" t="s">
        <v>125</v>
      </c>
      <c r="D39" s="60" t="s">
        <v>156</v>
      </c>
      <c r="E39" s="81">
        <v>93.224999999999994</v>
      </c>
      <c r="F39" s="81">
        <v>94.35</v>
      </c>
      <c r="G39" s="81">
        <v>94.05</v>
      </c>
      <c r="H39" s="81">
        <v>94.825000000000003</v>
      </c>
      <c r="I39" s="81">
        <v>95.2</v>
      </c>
      <c r="J39" s="81">
        <v>95.924999999999997</v>
      </c>
      <c r="K39" s="81">
        <v>96.7</v>
      </c>
      <c r="L39" s="81">
        <v>98.174999999999997</v>
      </c>
      <c r="M39" s="81">
        <v>98.575000000000003</v>
      </c>
      <c r="N39" s="81">
        <v>100.02500000000001</v>
      </c>
      <c r="O39" s="81">
        <v>100.575</v>
      </c>
      <c r="P39" s="81">
        <v>100.9</v>
      </c>
      <c r="Q39" s="81">
        <v>101.925</v>
      </c>
      <c r="R39" s="81">
        <v>103.375</v>
      </c>
      <c r="S39" s="81">
        <v>104.25</v>
      </c>
      <c r="T39" s="81">
        <v>106.1</v>
      </c>
      <c r="U39" s="81">
        <v>107.45</v>
      </c>
      <c r="V39" s="81">
        <v>112.52500000000001</v>
      </c>
      <c r="W39" s="81">
        <v>111.72499999999999</v>
      </c>
      <c r="X39" s="81">
        <v>115.97499999999999</v>
      </c>
      <c r="Y39" s="109">
        <v>131.5</v>
      </c>
      <c r="Z39" s="109">
        <v>133.875</v>
      </c>
    </row>
    <row r="40" spans="1:26">
      <c r="C40" s="24" t="s">
        <v>171</v>
      </c>
      <c r="D40" s="60" t="s">
        <v>156</v>
      </c>
      <c r="E40" s="81">
        <v>99.025000000000006</v>
      </c>
      <c r="F40" s="81">
        <v>97.1</v>
      </c>
      <c r="G40" s="81">
        <v>97.474999999999994</v>
      </c>
      <c r="H40" s="81">
        <v>96.85</v>
      </c>
      <c r="I40" s="81">
        <v>96.85</v>
      </c>
      <c r="J40" s="81">
        <v>97.3</v>
      </c>
      <c r="K40" s="81">
        <v>100.22499999999999</v>
      </c>
      <c r="L40" s="81">
        <v>99.3</v>
      </c>
      <c r="M40" s="81">
        <v>98.375</v>
      </c>
      <c r="N40" s="81">
        <v>100</v>
      </c>
      <c r="O40" s="81">
        <v>100.27500000000001</v>
      </c>
      <c r="P40" s="81">
        <v>101.05</v>
      </c>
      <c r="Q40" s="81">
        <v>103.075</v>
      </c>
      <c r="R40" s="81">
        <v>104.75</v>
      </c>
      <c r="S40" s="81">
        <v>105.625</v>
      </c>
      <c r="T40" s="81">
        <v>102.125</v>
      </c>
      <c r="U40" s="81">
        <v>97.8</v>
      </c>
      <c r="V40" s="81">
        <v>99.224999999999994</v>
      </c>
      <c r="W40" s="81">
        <v>101.175</v>
      </c>
      <c r="X40" s="81">
        <v>105.72499999999999</v>
      </c>
      <c r="Y40" s="109">
        <v>115.45</v>
      </c>
      <c r="Z40" s="109">
        <v>121.95</v>
      </c>
    </row>
    <row r="41" spans="1:26">
      <c r="C41" s="24" t="s">
        <v>128</v>
      </c>
      <c r="D41" s="60" t="s">
        <v>156</v>
      </c>
      <c r="E41" s="81">
        <v>93.125</v>
      </c>
      <c r="F41" s="81">
        <v>95.6</v>
      </c>
      <c r="G41" s="81">
        <v>96.325000000000003</v>
      </c>
      <c r="H41" s="81">
        <v>97.15</v>
      </c>
      <c r="I41" s="81">
        <v>97.724999999999994</v>
      </c>
      <c r="J41" s="81">
        <v>97.424999999999997</v>
      </c>
      <c r="K41" s="81">
        <v>101.7</v>
      </c>
      <c r="L41" s="81">
        <v>107.77500000000001</v>
      </c>
      <c r="M41" s="81">
        <v>108.8</v>
      </c>
      <c r="N41" s="81">
        <v>100</v>
      </c>
      <c r="O41" s="81">
        <v>100.02500000000001</v>
      </c>
      <c r="P41" s="81">
        <v>100.1</v>
      </c>
      <c r="Q41" s="81">
        <v>99</v>
      </c>
      <c r="R41" s="81">
        <v>99.85</v>
      </c>
      <c r="S41" s="81">
        <v>97.625</v>
      </c>
      <c r="T41" s="81">
        <v>96.924999999999997</v>
      </c>
      <c r="U41" s="81">
        <v>97.7</v>
      </c>
      <c r="V41" s="81">
        <v>98.35</v>
      </c>
      <c r="W41" s="81">
        <v>102.375</v>
      </c>
      <c r="X41" s="81">
        <v>111.97499999999999</v>
      </c>
      <c r="Y41" s="109">
        <v>123.375</v>
      </c>
      <c r="Z41" s="109">
        <v>134</v>
      </c>
    </row>
    <row r="42" spans="1:26">
      <c r="C42" s="24" t="s">
        <v>169</v>
      </c>
      <c r="D42" s="60" t="s">
        <v>156</v>
      </c>
      <c r="E42" s="81">
        <v>76.424999999999997</v>
      </c>
      <c r="F42" s="81">
        <v>76.5</v>
      </c>
      <c r="G42" s="81">
        <v>81.7</v>
      </c>
      <c r="H42" s="81">
        <v>87.6</v>
      </c>
      <c r="I42" s="81">
        <v>91.75</v>
      </c>
      <c r="J42" s="81">
        <v>96.3</v>
      </c>
      <c r="K42" s="81">
        <v>98.525000000000006</v>
      </c>
      <c r="L42" s="81">
        <v>95.5</v>
      </c>
      <c r="M42" s="81">
        <v>98.55</v>
      </c>
      <c r="N42" s="81">
        <v>100</v>
      </c>
      <c r="O42" s="81">
        <v>99.4</v>
      </c>
      <c r="P42" s="81">
        <v>102.52500000000001</v>
      </c>
      <c r="Q42" s="81">
        <v>103.97499999999999</v>
      </c>
      <c r="R42" s="81">
        <v>103.325</v>
      </c>
      <c r="S42" s="81">
        <v>105.27500000000001</v>
      </c>
      <c r="T42" s="81">
        <v>108.97499999999999</v>
      </c>
      <c r="U42" s="81">
        <v>114.375</v>
      </c>
      <c r="V42" s="81">
        <v>117.325</v>
      </c>
      <c r="W42" s="81">
        <v>118.2</v>
      </c>
      <c r="X42" s="81">
        <v>133.82499999999999</v>
      </c>
      <c r="Y42" s="109">
        <v>144.375</v>
      </c>
      <c r="Z42" s="109">
        <v>147.47499999999999</v>
      </c>
    </row>
    <row r="43" spans="1:26">
      <c r="A43" t="s">
        <v>2</v>
      </c>
      <c r="D43" s="61"/>
      <c r="E43" s="81"/>
      <c r="F43" s="81"/>
      <c r="G43" s="81"/>
      <c r="H43" s="81"/>
      <c r="I43" s="81"/>
      <c r="J43" s="81"/>
      <c r="K43" s="81"/>
      <c r="L43" s="81"/>
      <c r="M43" s="81"/>
      <c r="N43" s="81"/>
      <c r="O43" s="81"/>
      <c r="P43" s="81"/>
      <c r="Q43" s="81"/>
      <c r="R43" s="81"/>
      <c r="S43" s="81"/>
      <c r="T43" s="81"/>
      <c r="U43" s="81"/>
      <c r="V43" s="81"/>
      <c r="W43" s="81"/>
      <c r="X43" s="81"/>
    </row>
    <row r="44" spans="1:26">
      <c r="A44" s="23" t="s">
        <v>172</v>
      </c>
      <c r="D44" s="61"/>
      <c r="E44" s="81"/>
      <c r="F44" s="81"/>
      <c r="G44" s="81"/>
      <c r="H44" s="81"/>
      <c r="I44" s="81"/>
      <c r="J44" s="81"/>
      <c r="K44" s="81"/>
      <c r="L44" s="81"/>
      <c r="M44" s="81"/>
      <c r="N44" s="81"/>
      <c r="O44" s="81"/>
      <c r="P44" s="81"/>
      <c r="Q44" s="81"/>
      <c r="R44" s="81"/>
      <c r="S44" s="81"/>
      <c r="T44" s="81"/>
      <c r="U44" s="81"/>
      <c r="V44" s="81"/>
      <c r="W44" s="81"/>
      <c r="X44" s="81"/>
    </row>
    <row r="45" spans="1:26">
      <c r="B45" s="22" t="s">
        <v>181</v>
      </c>
      <c r="D45" s="61"/>
      <c r="E45" s="81"/>
      <c r="F45" s="81"/>
      <c r="G45" s="81"/>
      <c r="H45" s="81"/>
      <c r="I45" s="81"/>
      <c r="J45" s="81"/>
      <c r="K45" s="81"/>
      <c r="L45" s="81"/>
      <c r="M45" s="81"/>
      <c r="N45" s="81"/>
      <c r="O45" s="81"/>
      <c r="P45" s="81"/>
      <c r="Q45" s="81"/>
      <c r="R45" s="81"/>
      <c r="S45" s="81"/>
      <c r="T45" s="81"/>
      <c r="U45" s="81"/>
      <c r="V45" s="81"/>
    </row>
    <row r="46" spans="1:26">
      <c r="C46" s="24" t="s">
        <v>173</v>
      </c>
      <c r="D46" s="60" t="s">
        <v>156</v>
      </c>
      <c r="E46" s="81">
        <v>69.884657547304698</v>
      </c>
      <c r="F46" s="81">
        <v>77.715552166245601</v>
      </c>
      <c r="G46" s="81">
        <v>82.975072684810101</v>
      </c>
      <c r="H46" s="81">
        <v>83.709070111052895</v>
      </c>
      <c r="I46" s="81">
        <v>93.799151613364501</v>
      </c>
      <c r="J46" s="81">
        <v>103.179066774701</v>
      </c>
      <c r="K46" s="81">
        <v>92.169105381059197</v>
      </c>
      <c r="L46" s="81">
        <v>92.774414946856695</v>
      </c>
      <c r="M46" s="81">
        <v>99.752156713216706</v>
      </c>
      <c r="N46" s="81">
        <v>99.999999999999801</v>
      </c>
      <c r="O46" s="81">
        <v>94.807206520184906</v>
      </c>
      <c r="P46" s="81">
        <v>94.685667985319995</v>
      </c>
      <c r="Q46" s="81">
        <v>90.212573280587193</v>
      </c>
      <c r="R46" s="81">
        <v>84.683761498498598</v>
      </c>
      <c r="S46" s="81">
        <v>82.028978599685402</v>
      </c>
      <c r="T46" s="81">
        <v>86.063581335494007</v>
      </c>
      <c r="U46" s="81">
        <v>87.642950764977897</v>
      </c>
      <c r="V46" s="81">
        <v>83.37233860533</v>
      </c>
      <c r="W46" s="81">
        <v>84.897584534836895</v>
      </c>
      <c r="X46" s="81">
        <v>92.5454394548739</v>
      </c>
      <c r="Y46" s="81">
        <v>99.790504598044905</v>
      </c>
      <c r="Z46" s="81">
        <v>98.011093151680996</v>
      </c>
    </row>
    <row r="47" spans="1:26">
      <c r="C47" s="24" t="s">
        <v>174</v>
      </c>
      <c r="D47" s="60" t="s">
        <v>156</v>
      </c>
      <c r="E47" s="81">
        <v>62.310881990361999</v>
      </c>
      <c r="F47" s="81">
        <v>68.116104449176305</v>
      </c>
      <c r="G47" s="81">
        <v>71.816653591841302</v>
      </c>
      <c r="H47" s="81">
        <v>77.025664014344997</v>
      </c>
      <c r="I47" s="81">
        <v>82.118121707945804</v>
      </c>
      <c r="J47" s="81">
        <v>93.750980611901895</v>
      </c>
      <c r="K47" s="81">
        <v>88.7593858567746</v>
      </c>
      <c r="L47" s="81">
        <v>92.930628712316505</v>
      </c>
      <c r="M47" s="81">
        <v>98.605850050431599</v>
      </c>
      <c r="N47" s="81">
        <v>100</v>
      </c>
      <c r="O47" s="81">
        <v>93.098733609772495</v>
      </c>
      <c r="P47" s="81">
        <v>87.757480667936804</v>
      </c>
      <c r="Q47" s="81">
        <v>82.750196122380402</v>
      </c>
      <c r="R47" s="81">
        <v>76.438417572565299</v>
      </c>
      <c r="S47" s="81">
        <v>78.166535918413103</v>
      </c>
      <c r="T47" s="81">
        <v>80.703799170682501</v>
      </c>
      <c r="U47" s="81">
        <v>81.342183122268295</v>
      </c>
      <c r="V47" s="81">
        <v>77.8717701500142</v>
      </c>
      <c r="W47" s="81">
        <v>75.518833126419594</v>
      </c>
      <c r="X47" s="81">
        <v>81.598407274344893</v>
      </c>
      <c r="Y47" s="81">
        <v>98.667503113512495</v>
      </c>
      <c r="Z47" s="81">
        <v>101.67955237816101</v>
      </c>
    </row>
    <row r="48" spans="1:26">
      <c r="A48" s="25"/>
      <c r="B48" s="25"/>
      <c r="C48" s="26" t="s">
        <v>175</v>
      </c>
      <c r="D48" s="62" t="s">
        <v>156</v>
      </c>
      <c r="E48" s="90">
        <v>68.604892367101101</v>
      </c>
      <c r="F48" s="90">
        <v>74.703661697856603</v>
      </c>
      <c r="G48" s="90">
        <v>82.657909827284598</v>
      </c>
      <c r="H48" s="90">
        <v>84.498480243161097</v>
      </c>
      <c r="I48" s="90">
        <v>93.472282530033297</v>
      </c>
      <c r="J48" s="90">
        <v>100.44869011434299</v>
      </c>
      <c r="K48" s="90">
        <v>83.832682008973805</v>
      </c>
      <c r="L48" s="90">
        <v>87.653784918222598</v>
      </c>
      <c r="M48" s="90">
        <v>99.913156752062505</v>
      </c>
      <c r="N48" s="90">
        <v>99.999999999999801</v>
      </c>
      <c r="O48" s="90">
        <v>98.303661890288097</v>
      </c>
      <c r="P48" s="90">
        <v>102.50398031553</v>
      </c>
      <c r="Q48" s="90">
        <v>91.165146909827698</v>
      </c>
      <c r="R48" s="90">
        <v>80.587639311043503</v>
      </c>
      <c r="S48" s="90">
        <v>81.991605152699407</v>
      </c>
      <c r="T48" s="90">
        <v>90.4906643508467</v>
      </c>
      <c r="U48" s="90">
        <v>87.320923433203106</v>
      </c>
      <c r="V48" s="90">
        <v>79.621644412988303</v>
      </c>
      <c r="W48" s="90">
        <v>87.512850692633805</v>
      </c>
      <c r="X48" s="90">
        <v>101.31162077502</v>
      </c>
      <c r="Y48" s="90">
        <v>96.476090441843695</v>
      </c>
      <c r="Z48" s="90">
        <v>89.725576824921603</v>
      </c>
    </row>
    <row r="49" spans="1:26" ht="46.5" customHeight="1">
      <c r="A49" t="s">
        <v>2</v>
      </c>
      <c r="E49" s="177" t="s">
        <v>242</v>
      </c>
      <c r="F49" s="177"/>
      <c r="G49" s="177"/>
      <c r="H49" s="177"/>
      <c r="I49" s="177"/>
      <c r="J49" s="177"/>
      <c r="K49" s="177"/>
      <c r="L49" s="177"/>
      <c r="M49" s="177"/>
      <c r="N49" s="177"/>
      <c r="O49" s="177"/>
      <c r="P49" s="177"/>
      <c r="Q49" s="177"/>
      <c r="R49" s="177"/>
      <c r="S49" s="177"/>
      <c r="T49" s="177"/>
      <c r="U49" s="177"/>
      <c r="V49" s="177"/>
      <c r="W49" s="177"/>
      <c r="X49" s="177"/>
      <c r="Y49" s="177"/>
      <c r="Z49" s="177"/>
    </row>
    <row r="50" spans="1:26" ht="15" customHeight="1">
      <c r="A50" t="s">
        <v>2</v>
      </c>
    </row>
  </sheetData>
  <mergeCells count="2">
    <mergeCell ref="A2:Y2"/>
    <mergeCell ref="E49:Z49"/>
  </mergeCells>
  <phoneticPr fontId="14" type="noConversion"/>
  <conditionalFormatting sqref="E45:V48">
    <cfRule type="cellIs" dxfId="29" priority="14" operator="lessThan">
      <formula>0</formula>
    </cfRule>
  </conditionalFormatting>
  <conditionalFormatting sqref="E10:X44">
    <cfRule type="cellIs" dxfId="28" priority="13" operator="lessThan">
      <formula>0</formula>
    </cfRule>
  </conditionalFormatting>
  <conditionalFormatting sqref="E6:Z9">
    <cfRule type="cellIs" dxfId="27" priority="4" operator="lessThan">
      <formula>0</formula>
    </cfRule>
  </conditionalFormatting>
  <conditionalFormatting sqref="U6:Z9">
    <cfRule type="cellIs" dxfId="26" priority="5" operator="equal">
      <formula>0</formula>
    </cfRule>
  </conditionalFormatting>
  <conditionalFormatting sqref="W46:Z48">
    <cfRule type="cellIs" dxfId="25" priority="1" operator="lessThan">
      <formula>0</formula>
    </cfRule>
  </conditionalFormatting>
  <conditionalFormatting sqref="Y13:Z23 Y25:Z42">
    <cfRule type="cellIs" dxfId="24" priority="2" operator="lessThan">
      <formula>0</formula>
    </cfRule>
  </conditionalFormatting>
  <conditionalFormatting sqref="Y13:Z23 Y26:Z30 Y33:Z42">
    <cfRule type="cellIs" dxfId="23" priority="3" operator="equal">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02A6E-D2C9-495B-AB7E-BB0F16349D8E}">
  <dimension ref="A1:AG50"/>
  <sheetViews>
    <sheetView zoomScaleNormal="100" workbookViewId="0">
      <selection activeCell="A13" sqref="A13:N13"/>
    </sheetView>
  </sheetViews>
  <sheetFormatPr defaultColWidth="9.26953125" defaultRowHeight="14.5"/>
  <cols>
    <col min="1" max="2" width="3" customWidth="1"/>
    <col min="3" max="3" width="37.54296875" bestFit="1" customWidth="1"/>
    <col min="4" max="4" width="5.26953125" bestFit="1" customWidth="1"/>
    <col min="5" max="5" width="7.7265625" bestFit="1" customWidth="1"/>
    <col min="6" max="6" width="7.1796875" bestFit="1" customWidth="1"/>
    <col min="7" max="7" width="7.453125" bestFit="1" customWidth="1"/>
    <col min="8" max="8" width="7.54296875" customWidth="1"/>
    <col min="9" max="9" width="7.7265625" bestFit="1" customWidth="1"/>
    <col min="10" max="10" width="7.1796875" bestFit="1" customWidth="1"/>
    <col min="11" max="11" width="7.453125" bestFit="1" customWidth="1"/>
    <col min="12" max="12" width="7.54296875" customWidth="1"/>
    <col min="13" max="13" width="7.7265625" bestFit="1" customWidth="1"/>
    <col min="14" max="14" width="7.1796875" bestFit="1" customWidth="1"/>
    <col min="15" max="15" width="7.453125" bestFit="1" customWidth="1"/>
    <col min="16" max="16" width="7.54296875" customWidth="1"/>
    <col min="17" max="17" width="7.7265625" bestFit="1" customWidth="1"/>
    <col min="18" max="18" width="7.1796875" bestFit="1" customWidth="1"/>
    <col min="19" max="19" width="7.453125" bestFit="1" customWidth="1"/>
    <col min="20" max="20" width="7.54296875" customWidth="1"/>
    <col min="21" max="21" width="7.7265625" bestFit="1" customWidth="1"/>
    <col min="22" max="22" width="7.1796875" bestFit="1" customWidth="1"/>
    <col min="23" max="23" width="7.453125" bestFit="1" customWidth="1"/>
    <col min="24" max="24" width="7.54296875" customWidth="1"/>
    <col min="25" max="27" width="9" customWidth="1"/>
  </cols>
  <sheetData>
    <row r="1" spans="1:33" ht="71.25" customHeight="1">
      <c r="A1" t="s">
        <v>2</v>
      </c>
    </row>
    <row r="2" spans="1:33" ht="21">
      <c r="A2" s="173" t="s">
        <v>176</v>
      </c>
      <c r="B2" s="173"/>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row>
    <row r="3" spans="1:33" s="21" customFormat="1" ht="15" customHeight="1">
      <c r="A3" s="64" t="s">
        <v>38</v>
      </c>
      <c r="B3" s="64" t="s">
        <v>38</v>
      </c>
      <c r="C3" s="64" t="s">
        <v>38</v>
      </c>
      <c r="D3" s="66" t="s">
        <v>37</v>
      </c>
      <c r="E3" s="64" t="s">
        <v>98</v>
      </c>
      <c r="F3" s="64" t="s">
        <v>99</v>
      </c>
      <c r="G3" s="64" t="s">
        <v>100</v>
      </c>
      <c r="H3" s="64" t="s">
        <v>101</v>
      </c>
      <c r="I3" s="64" t="s">
        <v>102</v>
      </c>
      <c r="J3" s="64" t="s">
        <v>103</v>
      </c>
      <c r="K3" s="64" t="s">
        <v>104</v>
      </c>
      <c r="L3" s="64" t="s">
        <v>105</v>
      </c>
      <c r="M3" s="64" t="s">
        <v>106</v>
      </c>
      <c r="N3" s="64" t="s">
        <v>107</v>
      </c>
      <c r="O3" s="64" t="s">
        <v>108</v>
      </c>
      <c r="P3" s="64" t="s">
        <v>177</v>
      </c>
      <c r="Q3" s="64" t="s">
        <v>178</v>
      </c>
      <c r="R3" s="64" t="s">
        <v>179</v>
      </c>
      <c r="S3" s="64" t="s">
        <v>180</v>
      </c>
      <c r="T3" s="64" t="s">
        <v>301</v>
      </c>
      <c r="U3" s="64" t="s">
        <v>302</v>
      </c>
      <c r="V3" s="64" t="s">
        <v>308</v>
      </c>
      <c r="W3" s="64" t="s">
        <v>306</v>
      </c>
      <c r="X3" s="64" t="s">
        <v>307</v>
      </c>
      <c r="Y3" s="64" t="s">
        <v>311</v>
      </c>
      <c r="Z3" s="64" t="s">
        <v>312</v>
      </c>
      <c r="AA3" s="64" t="s">
        <v>314</v>
      </c>
      <c r="AB3" s="64" t="s">
        <v>316</v>
      </c>
      <c r="AC3" s="64" t="s">
        <v>327</v>
      </c>
      <c r="AD3" s="64" t="s">
        <v>329</v>
      </c>
      <c r="AE3" s="64" t="s">
        <v>330</v>
      </c>
      <c r="AF3" s="64" t="s">
        <v>337</v>
      </c>
      <c r="AG3" s="64" t="s">
        <v>338</v>
      </c>
    </row>
    <row r="4" spans="1:33">
      <c r="A4" s="23" t="s">
        <v>155</v>
      </c>
      <c r="D4" s="61"/>
    </row>
    <row r="5" spans="1:33">
      <c r="B5" s="22" t="s">
        <v>233</v>
      </c>
      <c r="D5" s="61"/>
    </row>
    <row r="6" spans="1:33">
      <c r="C6" s="11" t="s">
        <v>407</v>
      </c>
      <c r="D6" s="60" t="s">
        <v>156</v>
      </c>
      <c r="E6" s="109">
        <v>121.178297455547</v>
      </c>
      <c r="F6" s="109" t="s">
        <v>211</v>
      </c>
      <c r="G6" s="109">
        <v>122.895096793577</v>
      </c>
      <c r="H6" s="109" t="s">
        <v>211</v>
      </c>
      <c r="I6" s="109">
        <v>125.710365780385</v>
      </c>
      <c r="J6" s="109" t="s">
        <v>211</v>
      </c>
      <c r="K6" s="109">
        <v>127.159556652314</v>
      </c>
      <c r="L6" s="109" t="s">
        <v>211</v>
      </c>
      <c r="M6" s="109">
        <v>128.96626425409599</v>
      </c>
      <c r="N6" s="109" t="s">
        <v>211</v>
      </c>
      <c r="O6" s="109">
        <v>135.10702894308301</v>
      </c>
      <c r="P6" s="109" t="s">
        <v>211</v>
      </c>
      <c r="Q6" s="109">
        <v>135.64671674245901</v>
      </c>
      <c r="R6" s="109" t="s">
        <v>211</v>
      </c>
      <c r="S6" s="109">
        <v>148.428581996871</v>
      </c>
      <c r="T6" s="109" t="s">
        <v>211</v>
      </c>
      <c r="U6" s="109">
        <v>154.528739713009</v>
      </c>
      <c r="V6" s="109" t="s">
        <v>211</v>
      </c>
      <c r="W6" s="109">
        <v>171.90998366877599</v>
      </c>
      <c r="X6" s="109" t="s">
        <v>211</v>
      </c>
      <c r="Y6" s="109">
        <v>175.69917705369099</v>
      </c>
      <c r="Z6" s="109" t="s">
        <v>211</v>
      </c>
      <c r="AA6" s="109">
        <v>179.61416462353901</v>
      </c>
      <c r="AB6" s="109" t="s">
        <v>211</v>
      </c>
      <c r="AC6" s="109">
        <v>182.68556683860101</v>
      </c>
      <c r="AD6" s="109" t="s">
        <v>211</v>
      </c>
      <c r="AE6" s="109">
        <v>189.35359002820999</v>
      </c>
      <c r="AF6" s="109" t="s">
        <v>211</v>
      </c>
      <c r="AG6" s="109">
        <v>190.54651764538801</v>
      </c>
    </row>
    <row r="7" spans="1:33">
      <c r="C7" s="11" t="s">
        <v>408</v>
      </c>
      <c r="D7" s="60" t="s">
        <v>156</v>
      </c>
      <c r="E7" s="109">
        <v>124.304229671643</v>
      </c>
      <c r="F7" s="109" t="s">
        <v>211</v>
      </c>
      <c r="G7" s="109">
        <v>127.443690372451</v>
      </c>
      <c r="H7" s="109" t="s">
        <v>211</v>
      </c>
      <c r="I7" s="109">
        <v>128.443560519709</v>
      </c>
      <c r="J7" s="109" t="s">
        <v>211</v>
      </c>
      <c r="K7" s="109">
        <v>134.21095033122799</v>
      </c>
      <c r="L7" s="109" t="s">
        <v>211</v>
      </c>
      <c r="M7" s="109">
        <v>134.18498767494</v>
      </c>
      <c r="N7" s="109" t="s">
        <v>211</v>
      </c>
      <c r="O7" s="109">
        <v>133.244631488843</v>
      </c>
      <c r="P7" s="109" t="s">
        <v>211</v>
      </c>
      <c r="Q7" s="109">
        <v>134.09105818356699</v>
      </c>
      <c r="R7" s="109" t="s">
        <v>211</v>
      </c>
      <c r="S7" s="109">
        <v>145.86289809083701</v>
      </c>
      <c r="T7" s="109" t="s">
        <v>211</v>
      </c>
      <c r="U7" s="109">
        <v>154.66062650892599</v>
      </c>
      <c r="V7" s="109" t="s">
        <v>211</v>
      </c>
      <c r="W7" s="109">
        <v>159.80739114832099</v>
      </c>
      <c r="X7" s="109" t="s">
        <v>211</v>
      </c>
      <c r="Y7" s="109">
        <v>164.20318716452701</v>
      </c>
      <c r="Z7" s="109" t="s">
        <v>211</v>
      </c>
      <c r="AA7" s="109">
        <v>167.48402379781399</v>
      </c>
      <c r="AB7" s="109" t="s">
        <v>211</v>
      </c>
      <c r="AC7" s="109">
        <v>176.02570901150301</v>
      </c>
      <c r="AD7" s="109" t="s">
        <v>211</v>
      </c>
      <c r="AE7" s="109">
        <v>181.060044289232</v>
      </c>
      <c r="AF7" s="109" t="s">
        <v>211</v>
      </c>
      <c r="AG7" s="109">
        <v>185.333061334457</v>
      </c>
    </row>
    <row r="8" spans="1:33">
      <c r="C8" s="11" t="s">
        <v>234</v>
      </c>
      <c r="D8" s="60" t="s">
        <v>156</v>
      </c>
      <c r="E8" s="109">
        <v>118.573485946118</v>
      </c>
      <c r="F8" s="109">
        <v>125.614635637101</v>
      </c>
      <c r="G8" s="109">
        <v>124.63833663429401</v>
      </c>
      <c r="H8" s="109">
        <v>131.13484727787699</v>
      </c>
      <c r="I8" s="109">
        <v>131.43396623183401</v>
      </c>
      <c r="J8" s="109">
        <v>131.453203901514</v>
      </c>
      <c r="K8" s="109">
        <v>127.634642246982</v>
      </c>
      <c r="L8" s="109">
        <v>127.78566327839999</v>
      </c>
      <c r="M8" s="109">
        <v>127.751186498018</v>
      </c>
      <c r="N8" s="109">
        <v>127.68312601361799</v>
      </c>
      <c r="O8" s="109">
        <v>123.93834300751</v>
      </c>
      <c r="P8" s="109">
        <v>125.033160091383</v>
      </c>
      <c r="Q8" s="109">
        <v>126.085311026084</v>
      </c>
      <c r="R8" s="109">
        <v>131.82261295897999</v>
      </c>
      <c r="S8" s="109">
        <v>145.98697422854499</v>
      </c>
      <c r="T8" s="109">
        <v>170.03259440827199</v>
      </c>
      <c r="U8" s="109">
        <v>174.04816334040601</v>
      </c>
      <c r="V8" s="109">
        <v>181.41955285866601</v>
      </c>
      <c r="W8" s="109">
        <v>180.40778301215201</v>
      </c>
      <c r="X8" s="109">
        <v>181.54040039782399</v>
      </c>
      <c r="Y8" s="109">
        <v>181.173695147562</v>
      </c>
      <c r="Z8" s="109">
        <v>182.16159854623299</v>
      </c>
      <c r="AA8" s="109">
        <v>182.05230158710501</v>
      </c>
      <c r="AB8" s="109">
        <v>181.56076037282</v>
      </c>
      <c r="AC8" s="109">
        <v>181.56076037282</v>
      </c>
      <c r="AD8" s="109">
        <v>180.96160986358899</v>
      </c>
      <c r="AE8" s="109">
        <v>179.91203252638101</v>
      </c>
      <c r="AF8" s="109">
        <v>179.084437176759</v>
      </c>
      <c r="AG8" s="109">
        <v>176.34444528795501</v>
      </c>
    </row>
    <row r="9" spans="1:33">
      <c r="C9" s="11" t="s">
        <v>235</v>
      </c>
      <c r="D9" s="60" t="s">
        <v>156</v>
      </c>
      <c r="E9" s="109">
        <v>116.615492661391</v>
      </c>
      <c r="F9" s="109">
        <v>122.978466295571</v>
      </c>
      <c r="G9" s="109">
        <v>124.17505021624299</v>
      </c>
      <c r="H9" s="109">
        <v>125.82154689101699</v>
      </c>
      <c r="I9" s="109">
        <v>128.70851925037701</v>
      </c>
      <c r="J9" s="109">
        <v>128.46330589235399</v>
      </c>
      <c r="K9" s="109">
        <v>130.743910372682</v>
      </c>
      <c r="L9" s="109">
        <v>128.778353242956</v>
      </c>
      <c r="M9" s="109">
        <v>127.125404463598</v>
      </c>
      <c r="N9" s="109">
        <v>126.51066364279001</v>
      </c>
      <c r="O9" s="109">
        <v>128.07673460107901</v>
      </c>
      <c r="P9" s="109">
        <v>126.614876908474</v>
      </c>
      <c r="Q9" s="109">
        <v>127.73560640502301</v>
      </c>
      <c r="R9" s="109">
        <v>140.26237278076101</v>
      </c>
      <c r="S9" s="109">
        <v>157.99545980389101</v>
      </c>
      <c r="T9" s="109">
        <v>196.92411805575</v>
      </c>
      <c r="U9" s="109">
        <v>207.53203972624101</v>
      </c>
      <c r="V9" s="109">
        <v>224.53200634744201</v>
      </c>
      <c r="W9" s="109">
        <v>261.81427644102803</v>
      </c>
      <c r="X9" s="109">
        <v>245.603760039131</v>
      </c>
      <c r="Y9" s="109">
        <v>241.339008997646</v>
      </c>
      <c r="Z9" s="109">
        <v>227.123387579834</v>
      </c>
      <c r="AA9" s="109">
        <v>214.449902552879</v>
      </c>
      <c r="AB9" s="109">
        <v>195.51397615746001</v>
      </c>
      <c r="AC9" s="109">
        <v>192.44440673178801</v>
      </c>
      <c r="AD9" s="109">
        <v>181.80223103952</v>
      </c>
      <c r="AE9" s="109">
        <v>176.348164108334</v>
      </c>
      <c r="AF9" s="109">
        <v>173.86165499440699</v>
      </c>
      <c r="AG9" s="109">
        <v>173.183594539929</v>
      </c>
    </row>
    <row r="10" spans="1:33">
      <c r="A10" t="s">
        <v>2</v>
      </c>
      <c r="D10" s="61"/>
      <c r="E10" s="81"/>
      <c r="F10" s="102"/>
      <c r="G10" s="81"/>
      <c r="H10" s="81"/>
      <c r="I10" s="81"/>
      <c r="J10" s="81"/>
      <c r="K10" s="102"/>
      <c r="L10" s="81"/>
      <c r="M10" s="81"/>
      <c r="N10" s="81"/>
      <c r="O10" s="81"/>
      <c r="P10" s="81"/>
      <c r="Q10" s="81"/>
      <c r="R10" s="81"/>
      <c r="S10" s="81"/>
      <c r="T10" s="81"/>
      <c r="U10" s="81"/>
      <c r="V10" s="81"/>
      <c r="W10" s="81"/>
      <c r="X10" s="81"/>
      <c r="Y10" s="81"/>
      <c r="Z10" s="81"/>
    </row>
    <row r="11" spans="1:33">
      <c r="A11" s="22" t="s">
        <v>236</v>
      </c>
      <c r="D11" s="61"/>
      <c r="E11" s="81"/>
      <c r="F11" s="102"/>
      <c r="G11" s="81"/>
      <c r="H11" s="81"/>
      <c r="I11" s="81"/>
      <c r="J11" s="108"/>
      <c r="K11" s="81"/>
      <c r="L11" s="81"/>
      <c r="M11" s="81"/>
      <c r="N11" s="81"/>
      <c r="O11" s="81"/>
      <c r="P11" s="81"/>
      <c r="Q11" s="81"/>
      <c r="R11" s="81"/>
      <c r="S11" s="81"/>
      <c r="T11" s="81"/>
      <c r="U11" s="81"/>
      <c r="V11" s="81"/>
      <c r="W11" s="81"/>
      <c r="X11" s="81"/>
      <c r="Y11" s="81"/>
      <c r="Z11" s="81"/>
    </row>
    <row r="12" spans="1:33">
      <c r="B12" s="22" t="s">
        <v>237</v>
      </c>
      <c r="D12" s="61"/>
      <c r="E12" s="81"/>
      <c r="F12" s="81"/>
      <c r="G12" s="81"/>
      <c r="H12" s="81"/>
      <c r="I12" s="81"/>
      <c r="J12" s="81"/>
      <c r="K12" s="81"/>
      <c r="L12" s="81"/>
      <c r="M12" s="81"/>
      <c r="N12" s="81"/>
      <c r="O12" s="81"/>
      <c r="P12" s="81"/>
      <c r="Q12" s="81"/>
      <c r="R12" s="81"/>
      <c r="S12" s="81"/>
      <c r="T12" s="81"/>
      <c r="U12" s="81"/>
      <c r="V12" s="81"/>
      <c r="W12" s="81"/>
      <c r="X12" s="81"/>
      <c r="Y12" s="81"/>
      <c r="Z12" s="81"/>
    </row>
    <row r="13" spans="1:33">
      <c r="C13" s="24" t="s">
        <v>157</v>
      </c>
      <c r="D13" s="60" t="s">
        <v>156</v>
      </c>
      <c r="E13" s="81">
        <v>116.6</v>
      </c>
      <c r="F13" s="81">
        <v>118.3</v>
      </c>
      <c r="G13" s="81">
        <v>118.9</v>
      </c>
      <c r="H13" s="81">
        <v>120.1</v>
      </c>
      <c r="I13" s="81">
        <v>120.6</v>
      </c>
      <c r="J13" s="81">
        <v>120.6</v>
      </c>
      <c r="K13" s="81">
        <v>120.3</v>
      </c>
      <c r="L13" s="81">
        <v>119.9</v>
      </c>
      <c r="M13" s="81">
        <v>119.7</v>
      </c>
      <c r="N13" s="81">
        <v>120</v>
      </c>
      <c r="O13" s="81">
        <v>121</v>
      </c>
      <c r="P13" s="81">
        <v>120.9</v>
      </c>
      <c r="Q13" s="81">
        <v>121.5</v>
      </c>
      <c r="R13" s="81">
        <v>124</v>
      </c>
      <c r="S13" s="81">
        <v>128.80000000000001</v>
      </c>
      <c r="T13" s="81">
        <v>135.6</v>
      </c>
      <c r="U13" s="81">
        <v>143.80000000000001</v>
      </c>
      <c r="V13" s="81">
        <v>149.6</v>
      </c>
      <c r="W13" s="81">
        <v>160</v>
      </c>
      <c r="X13" s="81">
        <v>164.4</v>
      </c>
      <c r="Y13" s="81">
        <v>167.9</v>
      </c>
      <c r="Z13" s="81">
        <v>168.6</v>
      </c>
      <c r="AA13" s="81">
        <v>168.7</v>
      </c>
      <c r="AB13" s="81">
        <v>167.3</v>
      </c>
      <c r="AC13" s="81">
        <v>167.4</v>
      </c>
      <c r="AD13" s="81">
        <v>166.5</v>
      </c>
      <c r="AE13" s="81">
        <v>166.8</v>
      </c>
      <c r="AF13" s="81">
        <v>166.6</v>
      </c>
      <c r="AG13" s="81">
        <v>167.9</v>
      </c>
    </row>
    <row r="14" spans="1:33">
      <c r="C14" s="24" t="s">
        <v>158</v>
      </c>
      <c r="D14" s="60" t="s">
        <v>156</v>
      </c>
      <c r="E14" s="81">
        <v>112.8</v>
      </c>
      <c r="F14" s="81">
        <v>115.7</v>
      </c>
      <c r="G14" s="81">
        <v>116.2</v>
      </c>
      <c r="H14" s="81">
        <v>117.1</v>
      </c>
      <c r="I14" s="81">
        <v>118</v>
      </c>
      <c r="J14" s="81">
        <v>118</v>
      </c>
      <c r="K14" s="81">
        <v>117.9</v>
      </c>
      <c r="L14" s="81">
        <v>117.9</v>
      </c>
      <c r="M14" s="81">
        <v>117.7</v>
      </c>
      <c r="N14" s="81">
        <v>119.3</v>
      </c>
      <c r="O14" s="81">
        <v>119.2</v>
      </c>
      <c r="P14" s="81">
        <v>119.2</v>
      </c>
      <c r="Q14" s="81">
        <v>120.2</v>
      </c>
      <c r="R14" s="81">
        <v>124.9</v>
      </c>
      <c r="S14" s="81">
        <v>133.1</v>
      </c>
      <c r="T14" s="81">
        <v>145.5</v>
      </c>
      <c r="U14" s="81">
        <v>167.9</v>
      </c>
      <c r="V14" s="81">
        <v>173.9</v>
      </c>
      <c r="W14" s="81">
        <v>187.3</v>
      </c>
      <c r="X14" s="81">
        <v>190.7</v>
      </c>
      <c r="Y14" s="81">
        <v>180.9</v>
      </c>
      <c r="Z14" s="81">
        <v>179.9</v>
      </c>
      <c r="AA14" s="81">
        <v>179</v>
      </c>
      <c r="AB14" s="81">
        <v>174</v>
      </c>
      <c r="AC14" s="81">
        <v>170.5</v>
      </c>
      <c r="AD14" s="81">
        <v>166.2</v>
      </c>
      <c r="AE14" s="81">
        <v>164.9</v>
      </c>
      <c r="AF14" s="81">
        <v>165.7</v>
      </c>
      <c r="AG14" s="81">
        <v>165.1</v>
      </c>
    </row>
    <row r="15" spans="1:33">
      <c r="C15" s="24" t="s">
        <v>159</v>
      </c>
      <c r="D15" s="60" t="s">
        <v>156</v>
      </c>
      <c r="E15" s="81">
        <v>117.3</v>
      </c>
      <c r="F15" s="81">
        <v>120.1</v>
      </c>
      <c r="G15" s="81">
        <v>121.4</v>
      </c>
      <c r="H15" s="81">
        <v>122.8</v>
      </c>
      <c r="I15" s="81">
        <v>123.3</v>
      </c>
      <c r="J15" s="81">
        <v>123.2</v>
      </c>
      <c r="K15" s="81">
        <v>123.3</v>
      </c>
      <c r="L15" s="81">
        <v>124.4</v>
      </c>
      <c r="M15" s="81">
        <v>124.3</v>
      </c>
      <c r="N15" s="81">
        <v>124.7</v>
      </c>
      <c r="O15" s="81">
        <v>125.9</v>
      </c>
      <c r="P15" s="81">
        <v>125.1</v>
      </c>
      <c r="Q15" s="81">
        <v>127.6</v>
      </c>
      <c r="R15" s="81">
        <v>127.8</v>
      </c>
      <c r="S15" s="81">
        <v>130</v>
      </c>
      <c r="T15" s="81">
        <v>133.30000000000001</v>
      </c>
      <c r="U15" s="81">
        <v>149.5</v>
      </c>
      <c r="V15" s="81">
        <v>165.9</v>
      </c>
      <c r="W15" s="81">
        <v>176.3</v>
      </c>
      <c r="X15" s="81">
        <v>184.1</v>
      </c>
      <c r="Y15" s="81">
        <v>183.1</v>
      </c>
      <c r="Z15" s="81">
        <v>182.5</v>
      </c>
      <c r="AA15" s="81">
        <v>183.3</v>
      </c>
      <c r="AB15" s="81">
        <v>181.7</v>
      </c>
      <c r="AC15" s="81">
        <v>181.6</v>
      </c>
      <c r="AD15" s="81">
        <v>179.4</v>
      </c>
      <c r="AE15" s="81">
        <v>177.8</v>
      </c>
      <c r="AF15" s="81">
        <v>174.7</v>
      </c>
      <c r="AG15" s="81">
        <v>173.7</v>
      </c>
    </row>
    <row r="16" spans="1:33">
      <c r="C16" s="24" t="s">
        <v>160</v>
      </c>
      <c r="D16" s="60" t="s">
        <v>156</v>
      </c>
      <c r="E16" s="81">
        <v>116.2</v>
      </c>
      <c r="F16" s="81">
        <v>117.1</v>
      </c>
      <c r="G16" s="81">
        <v>115.9</v>
      </c>
      <c r="H16" s="81">
        <v>118.9</v>
      </c>
      <c r="I16" s="81">
        <v>120.9</v>
      </c>
      <c r="J16" s="81">
        <v>121.1</v>
      </c>
      <c r="K16" s="81">
        <v>121.1</v>
      </c>
      <c r="L16" s="81">
        <v>120.9</v>
      </c>
      <c r="M16" s="81">
        <v>120.1</v>
      </c>
      <c r="N16" s="81">
        <v>121.3</v>
      </c>
      <c r="O16" s="81">
        <v>121.4</v>
      </c>
      <c r="P16" s="81">
        <v>127.3</v>
      </c>
      <c r="Q16" s="81">
        <v>127.8</v>
      </c>
      <c r="R16" s="81">
        <v>128.5</v>
      </c>
      <c r="S16" s="81">
        <v>130</v>
      </c>
      <c r="T16" s="81">
        <v>135.30000000000001</v>
      </c>
      <c r="U16" s="81">
        <v>140.30000000000001</v>
      </c>
      <c r="V16" s="81">
        <v>153.1</v>
      </c>
      <c r="W16" s="81">
        <v>166.3</v>
      </c>
      <c r="X16" s="81">
        <v>171.2</v>
      </c>
      <c r="Y16" s="81">
        <v>174.5</v>
      </c>
      <c r="Z16" s="81">
        <v>172.8</v>
      </c>
      <c r="AA16" s="81">
        <v>176.8</v>
      </c>
      <c r="AB16" s="81">
        <v>177.8</v>
      </c>
      <c r="AC16" s="81">
        <v>177.9</v>
      </c>
      <c r="AD16" s="81">
        <v>178.6</v>
      </c>
      <c r="AE16" s="81">
        <v>180.1</v>
      </c>
      <c r="AF16" s="81">
        <v>179.1</v>
      </c>
      <c r="AG16" s="81">
        <v>190.1</v>
      </c>
    </row>
    <row r="17" spans="1:33">
      <c r="C17" s="24" t="s">
        <v>161</v>
      </c>
      <c r="D17" s="60" t="s">
        <v>156</v>
      </c>
      <c r="E17" s="81">
        <v>124.9</v>
      </c>
      <c r="F17" s="81">
        <v>125.4</v>
      </c>
      <c r="G17" s="81">
        <v>124.8</v>
      </c>
      <c r="H17" s="81">
        <v>126.4</v>
      </c>
      <c r="I17" s="81">
        <v>126.6</v>
      </c>
      <c r="J17" s="81">
        <v>127.5</v>
      </c>
      <c r="K17" s="81">
        <v>127.4</v>
      </c>
      <c r="L17" s="81">
        <v>128.19999999999999</v>
      </c>
      <c r="M17" s="81">
        <v>127.6</v>
      </c>
      <c r="N17" s="81">
        <v>127.7</v>
      </c>
      <c r="O17" s="81">
        <v>132.69999999999999</v>
      </c>
      <c r="P17" s="81">
        <v>132.6</v>
      </c>
      <c r="Q17" s="81">
        <v>132.6</v>
      </c>
      <c r="R17" s="81">
        <v>134.5</v>
      </c>
      <c r="S17" s="81">
        <v>139.80000000000001</v>
      </c>
      <c r="T17" s="81">
        <v>149.1</v>
      </c>
      <c r="U17" s="81">
        <v>155.4</v>
      </c>
      <c r="V17" s="81">
        <v>160.19999999999999</v>
      </c>
      <c r="W17" s="81">
        <v>183.7</v>
      </c>
      <c r="X17" s="81">
        <v>196.2</v>
      </c>
      <c r="Y17" s="81">
        <v>204.9</v>
      </c>
      <c r="Z17" s="81">
        <v>205.5</v>
      </c>
      <c r="AA17" s="81">
        <v>206.6</v>
      </c>
      <c r="AB17" s="81">
        <v>206.6</v>
      </c>
      <c r="AC17" s="81">
        <v>209.4</v>
      </c>
      <c r="AD17" s="81">
        <v>209.5</v>
      </c>
      <c r="AE17" s="81">
        <v>210.5</v>
      </c>
      <c r="AF17" s="81">
        <v>210</v>
      </c>
      <c r="AG17" s="81">
        <v>210.4</v>
      </c>
    </row>
    <row r="18" spans="1:33">
      <c r="C18" s="24" t="s">
        <v>162</v>
      </c>
      <c r="D18" s="60" t="s">
        <v>156</v>
      </c>
      <c r="E18" s="81">
        <v>112.1</v>
      </c>
      <c r="F18" s="81">
        <v>112.6</v>
      </c>
      <c r="G18" s="81">
        <v>112.6</v>
      </c>
      <c r="H18" s="81">
        <v>112.7</v>
      </c>
      <c r="I18" s="81">
        <v>112.5</v>
      </c>
      <c r="J18" s="81">
        <v>112.7</v>
      </c>
      <c r="K18" s="81">
        <v>112.7</v>
      </c>
      <c r="L18" s="81">
        <v>112.7</v>
      </c>
      <c r="M18" s="81">
        <v>113.2</v>
      </c>
      <c r="N18" s="81">
        <v>113.1</v>
      </c>
      <c r="O18" s="81">
        <v>113.3</v>
      </c>
      <c r="P18" s="81">
        <v>112.3</v>
      </c>
      <c r="Q18" s="81">
        <v>112.2</v>
      </c>
      <c r="R18" s="81">
        <v>114.5</v>
      </c>
      <c r="S18" s="81">
        <v>118.4</v>
      </c>
      <c r="T18" s="81">
        <v>118.9</v>
      </c>
      <c r="U18" s="81">
        <v>119.7</v>
      </c>
      <c r="V18" s="81">
        <v>121.9</v>
      </c>
      <c r="W18" s="81">
        <v>125.9</v>
      </c>
      <c r="X18" s="81">
        <v>126.6</v>
      </c>
      <c r="Y18" s="81">
        <v>133.69999999999999</v>
      </c>
      <c r="Z18" s="81">
        <v>135.1</v>
      </c>
      <c r="AA18" s="81">
        <v>137.4</v>
      </c>
      <c r="AB18" s="81">
        <v>137.5</v>
      </c>
      <c r="AC18" s="81">
        <v>138.9</v>
      </c>
      <c r="AD18" s="81">
        <v>138.6</v>
      </c>
      <c r="AE18" s="81">
        <v>140.1</v>
      </c>
      <c r="AF18" s="81">
        <v>140.1</v>
      </c>
      <c r="AG18" s="81">
        <v>141.9</v>
      </c>
    </row>
    <row r="19" spans="1:33">
      <c r="C19" s="24" t="s">
        <v>163</v>
      </c>
      <c r="D19" s="60" t="s">
        <v>156</v>
      </c>
      <c r="E19" s="81">
        <v>107.2</v>
      </c>
      <c r="F19" s="81">
        <v>107.4</v>
      </c>
      <c r="G19" s="81">
        <v>108.4</v>
      </c>
      <c r="H19" s="81">
        <v>109.5</v>
      </c>
      <c r="I19" s="81">
        <v>109.5</v>
      </c>
      <c r="J19" s="81">
        <v>109.4</v>
      </c>
      <c r="K19" s="81">
        <v>108.8</v>
      </c>
      <c r="L19" s="81">
        <v>108.5</v>
      </c>
      <c r="M19" s="81">
        <v>109</v>
      </c>
      <c r="N19" s="81">
        <v>109.3</v>
      </c>
      <c r="O19" s="81">
        <v>108.1</v>
      </c>
      <c r="P19" s="81">
        <v>107.9</v>
      </c>
      <c r="Q19" s="81">
        <v>109.1</v>
      </c>
      <c r="R19" s="81">
        <v>107.6</v>
      </c>
      <c r="S19" s="81">
        <v>108.3</v>
      </c>
      <c r="T19" s="81">
        <v>108.4</v>
      </c>
      <c r="U19" s="81">
        <v>109.3</v>
      </c>
      <c r="V19" s="81">
        <v>111.3</v>
      </c>
      <c r="W19" s="81">
        <v>112.9</v>
      </c>
      <c r="X19" s="81">
        <v>119.4</v>
      </c>
      <c r="Y19" s="81">
        <v>125.4</v>
      </c>
      <c r="Z19" s="81">
        <v>128.69999999999999</v>
      </c>
      <c r="AA19" s="81">
        <v>131.19999999999999</v>
      </c>
      <c r="AB19" s="81">
        <v>133.1</v>
      </c>
      <c r="AC19" s="81">
        <v>134.30000000000001</v>
      </c>
      <c r="AD19" s="81">
        <v>136</v>
      </c>
      <c r="AE19" s="81">
        <v>137.5</v>
      </c>
      <c r="AF19" s="81">
        <v>136.80000000000001</v>
      </c>
      <c r="AG19" s="81">
        <v>141.30000000000001</v>
      </c>
    </row>
    <row r="20" spans="1:33">
      <c r="C20" s="24" t="s">
        <v>164</v>
      </c>
      <c r="D20" s="60" t="s">
        <v>156</v>
      </c>
      <c r="E20" s="81">
        <v>111.5</v>
      </c>
      <c r="F20" s="81">
        <v>111.7</v>
      </c>
      <c r="G20" s="81">
        <v>112.8</v>
      </c>
      <c r="H20" s="81">
        <v>114.2</v>
      </c>
      <c r="I20" s="81">
        <v>113.9</v>
      </c>
      <c r="J20" s="81">
        <v>113.9</v>
      </c>
      <c r="K20" s="81">
        <v>115.6</v>
      </c>
      <c r="L20" s="81">
        <v>116.2</v>
      </c>
      <c r="M20" s="81">
        <v>116.3</v>
      </c>
      <c r="N20" s="81">
        <v>117.6</v>
      </c>
      <c r="O20" s="81">
        <v>121.8</v>
      </c>
      <c r="P20" s="81">
        <v>120.3</v>
      </c>
      <c r="Q20" s="81">
        <v>119.5</v>
      </c>
      <c r="R20" s="81">
        <v>118.8</v>
      </c>
      <c r="S20" s="81">
        <v>121.4</v>
      </c>
      <c r="T20" s="81">
        <v>123.9</v>
      </c>
      <c r="U20" s="81">
        <v>125.6</v>
      </c>
      <c r="V20" s="81">
        <v>127.2</v>
      </c>
      <c r="W20" s="81">
        <v>132.9</v>
      </c>
      <c r="X20" s="81">
        <v>135.5</v>
      </c>
      <c r="Y20" s="81">
        <v>141.5</v>
      </c>
      <c r="Z20" s="81">
        <v>146.5</v>
      </c>
      <c r="AA20" s="81">
        <v>150.6</v>
      </c>
      <c r="AB20" s="81">
        <v>152.1</v>
      </c>
      <c r="AC20" s="81">
        <v>153.1</v>
      </c>
      <c r="AD20" s="81">
        <v>155.80000000000001</v>
      </c>
      <c r="AE20" s="81">
        <v>159.5</v>
      </c>
      <c r="AF20" s="81">
        <v>161.1</v>
      </c>
      <c r="AG20" s="81">
        <v>160.5</v>
      </c>
    </row>
    <row r="21" spans="1:33">
      <c r="C21" s="24" t="s">
        <v>165</v>
      </c>
      <c r="D21" s="60" t="s">
        <v>156</v>
      </c>
      <c r="E21" s="81">
        <v>121.7</v>
      </c>
      <c r="F21" s="81">
        <v>122</v>
      </c>
      <c r="G21" s="81">
        <v>123.8</v>
      </c>
      <c r="H21" s="81">
        <v>125.3</v>
      </c>
      <c r="I21" s="81">
        <v>125.2</v>
      </c>
      <c r="J21" s="81">
        <v>125.2</v>
      </c>
      <c r="K21" s="81">
        <v>126.3</v>
      </c>
      <c r="L21" s="81">
        <v>127.7</v>
      </c>
      <c r="M21" s="81">
        <v>127.1</v>
      </c>
      <c r="N21" s="81">
        <v>127.5</v>
      </c>
      <c r="O21" s="81">
        <v>129.69999999999999</v>
      </c>
      <c r="P21" s="81">
        <v>132.6</v>
      </c>
      <c r="Q21" s="81">
        <v>131.4</v>
      </c>
      <c r="R21" s="81">
        <v>131.4</v>
      </c>
      <c r="S21" s="81">
        <v>133.6</v>
      </c>
      <c r="T21" s="81">
        <v>135.5</v>
      </c>
      <c r="U21" s="81">
        <v>140.80000000000001</v>
      </c>
      <c r="V21" s="81">
        <v>148</v>
      </c>
      <c r="W21" s="81">
        <v>153.19999999999999</v>
      </c>
      <c r="X21" s="81">
        <v>156.30000000000001</v>
      </c>
      <c r="Y21" s="81">
        <v>162</v>
      </c>
      <c r="Z21" s="81">
        <v>167.6</v>
      </c>
      <c r="AA21" s="81">
        <v>169.4</v>
      </c>
      <c r="AB21" s="81">
        <v>172.7</v>
      </c>
      <c r="AC21" s="81">
        <v>173.5</v>
      </c>
      <c r="AD21" s="81">
        <v>176.1</v>
      </c>
      <c r="AE21" s="81">
        <v>177</v>
      </c>
      <c r="AF21" s="81">
        <v>178.4</v>
      </c>
      <c r="AG21" s="81">
        <v>181.9</v>
      </c>
    </row>
    <row r="22" spans="1:33">
      <c r="C22" s="24" t="s">
        <v>166</v>
      </c>
      <c r="D22" s="60" t="s">
        <v>156</v>
      </c>
      <c r="E22" s="81">
        <v>93.8</v>
      </c>
      <c r="F22" s="81">
        <v>98</v>
      </c>
      <c r="G22" s="81">
        <v>99.4</v>
      </c>
      <c r="H22" s="81">
        <v>101.4</v>
      </c>
      <c r="I22" s="81">
        <v>102</v>
      </c>
      <c r="J22" s="81">
        <v>102</v>
      </c>
      <c r="K22" s="81">
        <v>100.4</v>
      </c>
      <c r="L22" s="81">
        <v>99.9</v>
      </c>
      <c r="M22" s="81">
        <v>98.9</v>
      </c>
      <c r="N22" s="81">
        <v>97.5</v>
      </c>
      <c r="O22" s="81">
        <v>98.3</v>
      </c>
      <c r="P22" s="81">
        <v>97.4</v>
      </c>
      <c r="Q22" s="81">
        <v>98.6</v>
      </c>
      <c r="R22" s="81">
        <v>103.5</v>
      </c>
      <c r="S22" s="81">
        <v>111.4</v>
      </c>
      <c r="T22" s="81">
        <v>130.19999999999999</v>
      </c>
      <c r="U22" s="81">
        <v>141.1</v>
      </c>
      <c r="V22" s="81">
        <v>148.5</v>
      </c>
      <c r="W22" s="81">
        <v>158.4</v>
      </c>
      <c r="X22" s="81">
        <v>159.9</v>
      </c>
      <c r="Y22" s="81">
        <v>158.6</v>
      </c>
      <c r="Z22" s="81">
        <v>157.30000000000001</v>
      </c>
      <c r="AA22" s="81">
        <v>155.69999999999999</v>
      </c>
      <c r="AB22" s="81">
        <v>151.5</v>
      </c>
      <c r="AC22" s="81">
        <v>148.4</v>
      </c>
      <c r="AD22" s="81">
        <v>150.4</v>
      </c>
      <c r="AE22" s="81">
        <v>145.6</v>
      </c>
      <c r="AF22" s="81">
        <v>142.80000000000001</v>
      </c>
      <c r="AG22" s="81">
        <v>141.4</v>
      </c>
    </row>
    <row r="23" spans="1:33">
      <c r="C23" s="24" t="s">
        <v>167</v>
      </c>
      <c r="D23" s="60" t="s">
        <v>156</v>
      </c>
      <c r="E23" s="81">
        <v>114</v>
      </c>
      <c r="F23" s="81">
        <v>115.3</v>
      </c>
      <c r="G23" s="81">
        <v>116</v>
      </c>
      <c r="H23" s="81">
        <v>117.2</v>
      </c>
      <c r="I23" s="81">
        <v>117.7</v>
      </c>
      <c r="J23" s="81">
        <v>117.9</v>
      </c>
      <c r="K23" s="81">
        <v>118.1</v>
      </c>
      <c r="L23" s="81">
        <v>118.4</v>
      </c>
      <c r="M23" s="81">
        <v>118.4</v>
      </c>
      <c r="N23" s="81">
        <v>118.8</v>
      </c>
      <c r="O23" s="81">
        <v>120.2</v>
      </c>
      <c r="P23" s="81">
        <v>120.4</v>
      </c>
      <c r="Q23" s="81">
        <v>120.5</v>
      </c>
      <c r="R23" s="81">
        <v>121.8</v>
      </c>
      <c r="S23" s="81">
        <v>125</v>
      </c>
      <c r="T23" s="81">
        <v>130</v>
      </c>
      <c r="U23" s="81">
        <v>134.9</v>
      </c>
      <c r="V23" s="81">
        <v>140.5</v>
      </c>
      <c r="W23" s="81">
        <v>146.6</v>
      </c>
      <c r="X23" s="81">
        <v>150.80000000000001</v>
      </c>
      <c r="Y23" s="81">
        <v>154.1</v>
      </c>
      <c r="Z23" s="81">
        <v>156.5</v>
      </c>
      <c r="AA23" s="81">
        <v>157.4</v>
      </c>
      <c r="AB23" s="81">
        <v>157.4</v>
      </c>
      <c r="AC23" s="81">
        <v>157.80000000000001</v>
      </c>
      <c r="AD23" s="81">
        <v>158.5</v>
      </c>
      <c r="AE23" s="81">
        <v>159.19999999999999</v>
      </c>
      <c r="AF23" s="81">
        <v>159.6</v>
      </c>
      <c r="AG23" s="81">
        <v>160.4</v>
      </c>
    </row>
    <row r="24" spans="1:33">
      <c r="A24" t="s">
        <v>2</v>
      </c>
      <c r="D24" s="61"/>
      <c r="E24" s="81"/>
      <c r="F24" s="81"/>
      <c r="G24" s="81"/>
      <c r="H24" s="81"/>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row>
    <row r="25" spans="1:33">
      <c r="B25" s="23" t="s">
        <v>168</v>
      </c>
      <c r="D25" s="61"/>
      <c r="E25" s="81"/>
      <c r="F25" s="81"/>
      <c r="G25" s="81"/>
      <c r="H25" s="81"/>
      <c r="I25" s="81"/>
      <c r="J25" s="81"/>
      <c r="K25" s="81"/>
      <c r="L25" s="81"/>
      <c r="M25" s="81"/>
      <c r="N25" s="81"/>
      <c r="O25" s="81"/>
      <c r="P25" s="81"/>
      <c r="Q25" s="81"/>
      <c r="R25" s="81"/>
      <c r="S25" s="81"/>
      <c r="T25" s="81"/>
      <c r="U25" s="81"/>
      <c r="V25" s="81"/>
      <c r="W25" s="81"/>
      <c r="X25" s="81"/>
      <c r="Y25" s="81"/>
      <c r="Z25" s="81"/>
      <c r="AA25" s="81"/>
      <c r="AB25" s="81"/>
      <c r="AC25" s="81"/>
      <c r="AD25" s="81"/>
      <c r="AE25" s="81"/>
      <c r="AF25" s="81"/>
      <c r="AG25" s="81"/>
    </row>
    <row r="26" spans="1:33">
      <c r="C26" s="24" t="s">
        <v>110</v>
      </c>
      <c r="D26" s="60" t="s">
        <v>156</v>
      </c>
      <c r="E26" s="81">
        <v>108.3</v>
      </c>
      <c r="F26" s="81">
        <v>106.2</v>
      </c>
      <c r="G26" s="81">
        <v>105.3</v>
      </c>
      <c r="H26" s="81">
        <v>106.9</v>
      </c>
      <c r="I26" s="81">
        <v>114.6</v>
      </c>
      <c r="J26" s="81">
        <v>111.2</v>
      </c>
      <c r="K26" s="81">
        <v>111.9</v>
      </c>
      <c r="L26" s="81">
        <v>112.4</v>
      </c>
      <c r="M26" s="81">
        <v>113.2</v>
      </c>
      <c r="N26" s="81">
        <v>111.3</v>
      </c>
      <c r="O26" s="81">
        <v>111.8</v>
      </c>
      <c r="P26" s="81">
        <v>111.5</v>
      </c>
      <c r="Q26" s="81">
        <v>111.9</v>
      </c>
      <c r="R26" s="81">
        <v>111.6</v>
      </c>
      <c r="S26" s="81">
        <v>113.5</v>
      </c>
      <c r="T26" s="81">
        <v>114.8</v>
      </c>
      <c r="U26" s="81">
        <v>117.1</v>
      </c>
      <c r="V26" s="81">
        <v>122.5</v>
      </c>
      <c r="W26" s="81">
        <v>123.5</v>
      </c>
      <c r="X26" s="81">
        <v>128.1</v>
      </c>
      <c r="Y26" s="81">
        <v>140.1</v>
      </c>
      <c r="Z26" s="81">
        <v>133.30000000000001</v>
      </c>
      <c r="AA26" s="81">
        <v>140.80000000000001</v>
      </c>
      <c r="AB26" s="81">
        <v>141.69999999999999</v>
      </c>
      <c r="AC26" s="81">
        <v>144.69999999999999</v>
      </c>
      <c r="AD26" s="81">
        <v>143.19999999999999</v>
      </c>
      <c r="AE26" s="81">
        <v>144.30000000000001</v>
      </c>
      <c r="AF26" s="81">
        <v>145.9</v>
      </c>
      <c r="AG26" s="81">
        <v>146</v>
      </c>
    </row>
    <row r="27" spans="1:33">
      <c r="C27" s="24" t="s">
        <v>112</v>
      </c>
      <c r="D27" s="60" t="s">
        <v>156</v>
      </c>
      <c r="E27" s="81">
        <v>148.30000000000001</v>
      </c>
      <c r="F27" s="81">
        <v>150.30000000000001</v>
      </c>
      <c r="G27" s="81">
        <v>151.30000000000001</v>
      </c>
      <c r="H27" s="81">
        <v>154.4</v>
      </c>
      <c r="I27" s="81">
        <v>164.5</v>
      </c>
      <c r="J27" s="81">
        <v>163.80000000000001</v>
      </c>
      <c r="K27" s="81">
        <v>152.5</v>
      </c>
      <c r="L27" s="81">
        <v>153</v>
      </c>
      <c r="M27" s="81">
        <v>151.80000000000001</v>
      </c>
      <c r="N27" s="81">
        <v>150.1</v>
      </c>
      <c r="O27" s="81">
        <v>154.1</v>
      </c>
      <c r="P27" s="81">
        <v>150.9</v>
      </c>
      <c r="Q27" s="81">
        <v>149.5</v>
      </c>
      <c r="R27" s="81">
        <v>152</v>
      </c>
      <c r="S27" s="81">
        <v>153.6</v>
      </c>
      <c r="T27" s="81">
        <v>164.7</v>
      </c>
      <c r="U27" s="81">
        <v>171.1</v>
      </c>
      <c r="V27" s="81">
        <v>171</v>
      </c>
      <c r="W27" s="81">
        <v>173.9</v>
      </c>
      <c r="X27" s="81">
        <v>189.3</v>
      </c>
      <c r="Y27" s="81">
        <v>188.6</v>
      </c>
      <c r="Z27" s="81">
        <v>183.6</v>
      </c>
      <c r="AA27" s="81">
        <v>179.1</v>
      </c>
      <c r="AB27" s="81">
        <v>173.3</v>
      </c>
      <c r="AC27" s="81">
        <v>179.5</v>
      </c>
      <c r="AD27" s="81">
        <v>175.1</v>
      </c>
      <c r="AE27" s="81">
        <v>176.4</v>
      </c>
      <c r="AF27" s="81">
        <v>177.3</v>
      </c>
      <c r="AG27" s="81">
        <v>177.3</v>
      </c>
    </row>
    <row r="28" spans="1:33">
      <c r="C28" s="24" t="s">
        <v>116</v>
      </c>
      <c r="D28" s="60" t="s">
        <v>156</v>
      </c>
      <c r="E28" s="81">
        <v>108.9</v>
      </c>
      <c r="F28" s="81">
        <v>109.1</v>
      </c>
      <c r="G28" s="81">
        <v>109.4</v>
      </c>
      <c r="H28" s="81">
        <v>109.8</v>
      </c>
      <c r="I28" s="81">
        <v>109.9</v>
      </c>
      <c r="J28" s="81">
        <v>111.2</v>
      </c>
      <c r="K28" s="81">
        <v>110.7</v>
      </c>
      <c r="L28" s="81">
        <v>108.5</v>
      </c>
      <c r="M28" s="81">
        <v>109.6</v>
      </c>
      <c r="N28" s="81">
        <v>110.1</v>
      </c>
      <c r="O28" s="81">
        <v>110.9</v>
      </c>
      <c r="P28" s="81">
        <v>110.5</v>
      </c>
      <c r="Q28" s="81">
        <v>110.1</v>
      </c>
      <c r="R28" s="81">
        <v>110.9</v>
      </c>
      <c r="S28" s="81">
        <v>111.1</v>
      </c>
      <c r="T28" s="81">
        <v>113.6</v>
      </c>
      <c r="U28" s="81">
        <v>120.5</v>
      </c>
      <c r="V28" s="81">
        <v>121.4</v>
      </c>
      <c r="W28" s="81">
        <v>126.4</v>
      </c>
      <c r="X28" s="81">
        <v>129.80000000000001</v>
      </c>
      <c r="Y28" s="81">
        <v>134.5</v>
      </c>
      <c r="Z28" s="81">
        <v>131.9</v>
      </c>
      <c r="AA28" s="81">
        <v>133.1</v>
      </c>
      <c r="AB28" s="81">
        <v>133.30000000000001</v>
      </c>
      <c r="AC28" s="81">
        <v>133.4</v>
      </c>
      <c r="AD28" s="81">
        <v>134.9</v>
      </c>
      <c r="AE28" s="81">
        <v>135.80000000000001</v>
      </c>
      <c r="AF28" s="81">
        <v>136.5</v>
      </c>
      <c r="AG28" s="81">
        <v>134.30000000000001</v>
      </c>
    </row>
    <row r="29" spans="1:33">
      <c r="C29" s="24" t="s">
        <v>123</v>
      </c>
      <c r="D29" s="60" t="s">
        <v>156</v>
      </c>
      <c r="E29" s="81">
        <v>111.7</v>
      </c>
      <c r="F29" s="81">
        <v>113.3</v>
      </c>
      <c r="G29" s="81">
        <v>115.5</v>
      </c>
      <c r="H29" s="81">
        <v>117.1</v>
      </c>
      <c r="I29" s="81">
        <v>119.2</v>
      </c>
      <c r="J29" s="81">
        <v>119.3</v>
      </c>
      <c r="K29" s="81">
        <v>120.2</v>
      </c>
      <c r="L29" s="81">
        <v>120.2</v>
      </c>
      <c r="M29" s="81">
        <v>123.6</v>
      </c>
      <c r="N29" s="81">
        <v>119.7</v>
      </c>
      <c r="O29" s="81">
        <v>120.9</v>
      </c>
      <c r="P29" s="81">
        <v>118.1</v>
      </c>
      <c r="Q29" s="81">
        <v>117.7</v>
      </c>
      <c r="R29" s="81">
        <v>117.7</v>
      </c>
      <c r="S29" s="81">
        <v>119.5</v>
      </c>
      <c r="T29" s="81">
        <v>124</v>
      </c>
      <c r="U29" s="81">
        <v>127.5</v>
      </c>
      <c r="V29" s="81">
        <v>130.30000000000001</v>
      </c>
      <c r="W29" s="81">
        <v>132.5</v>
      </c>
      <c r="X29" s="81">
        <v>147.6</v>
      </c>
      <c r="Y29" s="81">
        <v>157.1</v>
      </c>
      <c r="Z29" s="81">
        <v>152.80000000000001</v>
      </c>
      <c r="AA29" s="81">
        <v>152.9</v>
      </c>
      <c r="AB29" s="81">
        <v>154.1</v>
      </c>
      <c r="AC29" s="81">
        <v>147.6</v>
      </c>
      <c r="AD29" s="81">
        <v>148.9</v>
      </c>
      <c r="AE29" s="81">
        <v>146.80000000000001</v>
      </c>
      <c r="AF29" s="81">
        <v>148</v>
      </c>
      <c r="AG29" s="81">
        <v>151.80000000000001</v>
      </c>
    </row>
    <row r="30" spans="1:33">
      <c r="C30" s="24" t="s">
        <v>169</v>
      </c>
      <c r="D30" s="60" t="s">
        <v>156</v>
      </c>
      <c r="E30" s="81">
        <v>103.3</v>
      </c>
      <c r="F30" s="81">
        <v>106.2</v>
      </c>
      <c r="G30" s="81">
        <v>108.6</v>
      </c>
      <c r="H30" s="81">
        <v>109.5</v>
      </c>
      <c r="I30" s="81">
        <v>109.7</v>
      </c>
      <c r="J30" s="81">
        <v>110.4</v>
      </c>
      <c r="K30" s="81">
        <v>112.8</v>
      </c>
      <c r="L30" s="81">
        <v>115</v>
      </c>
      <c r="M30" s="81">
        <v>113.8</v>
      </c>
      <c r="N30" s="81">
        <v>115.5</v>
      </c>
      <c r="O30" s="81">
        <v>114.5</v>
      </c>
      <c r="P30" s="81">
        <v>114.7</v>
      </c>
      <c r="Q30" s="81">
        <v>115.1</v>
      </c>
      <c r="R30" s="81">
        <v>117.6</v>
      </c>
      <c r="S30" s="81">
        <v>122</v>
      </c>
      <c r="T30" s="81">
        <v>127.6</v>
      </c>
      <c r="U30" s="81">
        <v>131.19999999999999</v>
      </c>
      <c r="V30" s="81">
        <v>139.30000000000001</v>
      </c>
      <c r="W30" s="81">
        <v>143.6</v>
      </c>
      <c r="X30" s="81">
        <v>145.80000000000001</v>
      </c>
      <c r="Y30" s="81">
        <v>145.4</v>
      </c>
      <c r="Z30" s="81">
        <v>144.9</v>
      </c>
      <c r="AA30" s="81">
        <v>144.6</v>
      </c>
      <c r="AB30" s="81">
        <v>142.1</v>
      </c>
      <c r="AC30" s="81">
        <v>142.5</v>
      </c>
      <c r="AD30" s="81">
        <v>143.6</v>
      </c>
      <c r="AE30" s="81">
        <v>146.80000000000001</v>
      </c>
      <c r="AF30" s="81">
        <v>147.5</v>
      </c>
      <c r="AG30" s="81">
        <v>149.6</v>
      </c>
    </row>
    <row r="31" spans="1:33">
      <c r="A31" t="s">
        <v>2</v>
      </c>
      <c r="D31" s="6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row>
    <row r="32" spans="1:33">
      <c r="B32" s="23" t="s">
        <v>170</v>
      </c>
      <c r="D32" s="6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row>
    <row r="33" spans="1:33">
      <c r="C33" s="24" t="s">
        <v>113</v>
      </c>
      <c r="D33" s="60" t="s">
        <v>156</v>
      </c>
      <c r="E33" s="81">
        <v>120.3</v>
      </c>
      <c r="F33" s="81">
        <v>120.3</v>
      </c>
      <c r="G33" s="81">
        <v>120.7</v>
      </c>
      <c r="H33" s="81">
        <v>127.2</v>
      </c>
      <c r="I33" s="81">
        <v>127.8</v>
      </c>
      <c r="J33" s="81">
        <v>127.8</v>
      </c>
      <c r="K33" s="81">
        <v>127.8</v>
      </c>
      <c r="L33" s="81">
        <v>127.8</v>
      </c>
      <c r="M33" s="81">
        <v>127.8</v>
      </c>
      <c r="N33" s="81">
        <v>127.8</v>
      </c>
      <c r="O33" s="81">
        <v>140.80000000000001</v>
      </c>
      <c r="P33" s="81">
        <v>140.80000000000001</v>
      </c>
      <c r="Q33" s="81">
        <v>140.80000000000001</v>
      </c>
      <c r="R33" s="81">
        <v>140.80000000000001</v>
      </c>
      <c r="S33" s="81">
        <v>140.80000000000001</v>
      </c>
      <c r="T33" s="81">
        <v>140.80000000000001</v>
      </c>
      <c r="U33" s="81">
        <v>166.6</v>
      </c>
      <c r="V33" s="81">
        <v>174.9</v>
      </c>
      <c r="W33" s="81">
        <v>174.9</v>
      </c>
      <c r="X33" s="81">
        <v>174.9</v>
      </c>
      <c r="Y33" s="81">
        <v>221.2</v>
      </c>
      <c r="Z33" s="81">
        <v>221.2</v>
      </c>
      <c r="AA33" s="81">
        <v>221.2</v>
      </c>
      <c r="AB33" s="81">
        <v>219.7</v>
      </c>
      <c r="AC33" s="81">
        <v>221.5</v>
      </c>
      <c r="AD33" s="81">
        <v>222.2</v>
      </c>
      <c r="AE33" s="81">
        <v>225.4</v>
      </c>
      <c r="AF33" s="81">
        <v>229</v>
      </c>
      <c r="AG33" s="81">
        <v>227.2</v>
      </c>
    </row>
    <row r="34" spans="1:33">
      <c r="C34" s="24" t="s">
        <v>115</v>
      </c>
      <c r="D34" s="60" t="s">
        <v>156</v>
      </c>
      <c r="E34" s="81">
        <v>116.1</v>
      </c>
      <c r="F34" s="81">
        <v>118</v>
      </c>
      <c r="G34" s="81">
        <v>120.1</v>
      </c>
      <c r="H34" s="81">
        <v>121.3</v>
      </c>
      <c r="I34" s="81">
        <v>128.30000000000001</v>
      </c>
      <c r="J34" s="81">
        <v>129.19999999999999</v>
      </c>
      <c r="K34" s="81">
        <v>123.2</v>
      </c>
      <c r="L34" s="81">
        <v>128.4</v>
      </c>
      <c r="M34" s="81">
        <v>126.3</v>
      </c>
      <c r="N34" s="81">
        <v>127.2</v>
      </c>
      <c r="O34" s="81">
        <v>127.5</v>
      </c>
      <c r="P34" s="81">
        <v>129.69999999999999</v>
      </c>
      <c r="Q34" s="81">
        <v>130.5</v>
      </c>
      <c r="R34" s="81">
        <v>133.9</v>
      </c>
      <c r="S34" s="81">
        <v>142</v>
      </c>
      <c r="T34" s="81">
        <v>153.80000000000001</v>
      </c>
      <c r="U34" s="81">
        <v>170.3</v>
      </c>
      <c r="V34" s="81">
        <v>178.1</v>
      </c>
      <c r="W34" s="81">
        <v>185.6</v>
      </c>
      <c r="X34" s="81">
        <v>188.3</v>
      </c>
      <c r="Y34" s="81">
        <v>190</v>
      </c>
      <c r="Z34" s="81">
        <v>190</v>
      </c>
      <c r="AA34" s="81">
        <v>185.8</v>
      </c>
      <c r="AB34" s="81">
        <v>186.8</v>
      </c>
      <c r="AC34" s="81">
        <v>185.1</v>
      </c>
      <c r="AD34" s="81">
        <v>185.4</v>
      </c>
      <c r="AE34" s="81">
        <v>185.4</v>
      </c>
      <c r="AF34" s="81">
        <v>186.7</v>
      </c>
      <c r="AG34" s="81">
        <v>187.2</v>
      </c>
    </row>
    <row r="35" spans="1:33">
      <c r="C35" s="24" t="s">
        <v>114</v>
      </c>
      <c r="D35" s="60" t="s">
        <v>156</v>
      </c>
      <c r="E35" s="81">
        <v>108.9</v>
      </c>
      <c r="F35" s="81">
        <v>130.19999999999999</v>
      </c>
      <c r="G35" s="81">
        <v>131</v>
      </c>
      <c r="H35" s="81">
        <v>133.1</v>
      </c>
      <c r="I35" s="81">
        <v>132.80000000000001</v>
      </c>
      <c r="J35" s="81">
        <v>137.80000000000001</v>
      </c>
      <c r="K35" s="81">
        <v>137.30000000000001</v>
      </c>
      <c r="L35" s="81">
        <v>146.9</v>
      </c>
      <c r="M35" s="81">
        <v>133</v>
      </c>
      <c r="N35" s="81">
        <v>139.80000000000001</v>
      </c>
      <c r="O35" s="81">
        <v>132.9</v>
      </c>
      <c r="P35" s="81">
        <v>123.2</v>
      </c>
      <c r="Q35" s="81">
        <v>130.30000000000001</v>
      </c>
      <c r="R35" s="81">
        <v>140.69999999999999</v>
      </c>
      <c r="S35" s="81">
        <v>140.69999999999999</v>
      </c>
      <c r="T35" s="81">
        <v>165.7</v>
      </c>
      <c r="U35" s="81">
        <v>173.9</v>
      </c>
      <c r="V35" s="81">
        <v>158.5</v>
      </c>
      <c r="W35" s="81">
        <v>157.30000000000001</v>
      </c>
      <c r="X35" s="81">
        <v>169.9</v>
      </c>
      <c r="Y35" s="81">
        <v>176.4</v>
      </c>
      <c r="Z35" s="81">
        <v>169.6</v>
      </c>
      <c r="AA35" s="81">
        <v>184.1</v>
      </c>
      <c r="AB35" s="81">
        <v>175.6</v>
      </c>
      <c r="AC35" s="81">
        <v>184.6</v>
      </c>
      <c r="AD35" s="81">
        <v>182.4</v>
      </c>
      <c r="AE35" s="81">
        <v>180.9</v>
      </c>
      <c r="AF35" s="81">
        <v>187.1</v>
      </c>
      <c r="AG35" s="81">
        <v>194.1</v>
      </c>
    </row>
    <row r="36" spans="1:33">
      <c r="C36" s="24" t="s">
        <v>119</v>
      </c>
      <c r="D36" s="60" t="s">
        <v>156</v>
      </c>
      <c r="E36" s="81">
        <v>106.3</v>
      </c>
      <c r="F36" s="81">
        <v>106.3</v>
      </c>
      <c r="G36" s="81">
        <v>105.5</v>
      </c>
      <c r="H36" s="81">
        <v>106</v>
      </c>
      <c r="I36" s="81">
        <v>107</v>
      </c>
      <c r="J36" s="81">
        <v>106</v>
      </c>
      <c r="K36" s="81">
        <v>105.7</v>
      </c>
      <c r="L36" s="81">
        <v>101.2</v>
      </c>
      <c r="M36" s="81">
        <v>102.4</v>
      </c>
      <c r="N36" s="81">
        <v>102.5</v>
      </c>
      <c r="O36" s="81">
        <v>104.2</v>
      </c>
      <c r="P36" s="81">
        <v>104.3</v>
      </c>
      <c r="Q36" s="81">
        <v>104.2</v>
      </c>
      <c r="R36" s="81">
        <v>104.1</v>
      </c>
      <c r="S36" s="81">
        <v>105</v>
      </c>
      <c r="T36" s="81">
        <v>106.5</v>
      </c>
      <c r="U36" s="81">
        <v>110.2</v>
      </c>
      <c r="V36" s="81">
        <v>111.4</v>
      </c>
      <c r="W36" s="81">
        <v>113.3</v>
      </c>
      <c r="X36" s="81">
        <v>116</v>
      </c>
      <c r="Y36" s="81">
        <v>121.4</v>
      </c>
      <c r="Z36" s="81">
        <v>117.9</v>
      </c>
      <c r="AA36" s="81">
        <v>119.1</v>
      </c>
      <c r="AB36" s="81">
        <v>119.5</v>
      </c>
      <c r="AC36" s="81">
        <v>119.2</v>
      </c>
      <c r="AD36" s="81">
        <v>121.1</v>
      </c>
      <c r="AE36" s="81">
        <v>120.1</v>
      </c>
      <c r="AF36" s="81">
        <v>121.7</v>
      </c>
      <c r="AG36" s="81">
        <v>119.3</v>
      </c>
    </row>
    <row r="37" spans="1:33">
      <c r="C37" s="24" t="s">
        <v>120</v>
      </c>
      <c r="D37" s="60" t="s">
        <v>156</v>
      </c>
      <c r="E37" s="81">
        <v>113.3</v>
      </c>
      <c r="F37" s="81">
        <v>114.4</v>
      </c>
      <c r="G37" s="81">
        <v>116</v>
      </c>
      <c r="H37" s="81">
        <v>118.9</v>
      </c>
      <c r="I37" s="81">
        <v>116.5</v>
      </c>
      <c r="J37" s="81">
        <v>116.7</v>
      </c>
      <c r="K37" s="81">
        <v>116.6</v>
      </c>
      <c r="L37" s="81">
        <v>115.9</v>
      </c>
      <c r="M37" s="81">
        <v>115.6</v>
      </c>
      <c r="N37" s="81">
        <v>117.3</v>
      </c>
      <c r="O37" s="81">
        <v>116.6</v>
      </c>
      <c r="P37" s="81">
        <v>111</v>
      </c>
      <c r="Q37" s="81">
        <v>111.7</v>
      </c>
      <c r="R37" s="81">
        <v>112.6</v>
      </c>
      <c r="S37" s="81">
        <v>112.9</v>
      </c>
      <c r="T37" s="81">
        <v>113.9</v>
      </c>
      <c r="U37" s="81">
        <v>139.30000000000001</v>
      </c>
      <c r="V37" s="81">
        <v>141.80000000000001</v>
      </c>
      <c r="W37" s="81">
        <v>148</v>
      </c>
      <c r="X37" s="81">
        <v>162.9</v>
      </c>
      <c r="Y37" s="81">
        <v>169.8</v>
      </c>
      <c r="Z37" s="81">
        <v>169.6</v>
      </c>
      <c r="AA37" s="81">
        <v>169.8</v>
      </c>
      <c r="AB37" s="81">
        <v>169.8</v>
      </c>
      <c r="AC37" s="81">
        <v>171.9</v>
      </c>
      <c r="AD37" s="81">
        <v>159.5</v>
      </c>
      <c r="AE37" s="81">
        <v>158.80000000000001</v>
      </c>
      <c r="AF37" s="81">
        <v>139.19999999999999</v>
      </c>
      <c r="AG37" s="81">
        <v>139</v>
      </c>
    </row>
    <row r="38" spans="1:33">
      <c r="C38" s="24" t="s">
        <v>124</v>
      </c>
      <c r="D38" s="60" t="s">
        <v>156</v>
      </c>
      <c r="E38" s="81">
        <v>99.5</v>
      </c>
      <c r="F38" s="81">
        <v>100.9</v>
      </c>
      <c r="G38" s="81">
        <v>100.3</v>
      </c>
      <c r="H38" s="81">
        <v>102.1</v>
      </c>
      <c r="I38" s="81">
        <v>102.1</v>
      </c>
      <c r="J38" s="81">
        <v>102.8</v>
      </c>
      <c r="K38" s="81">
        <v>102.2</v>
      </c>
      <c r="L38" s="81">
        <v>103.4</v>
      </c>
      <c r="M38" s="81">
        <v>103.8</v>
      </c>
      <c r="N38" s="81">
        <v>105.1</v>
      </c>
      <c r="O38" s="81">
        <v>106.6</v>
      </c>
      <c r="P38" s="81">
        <v>104</v>
      </c>
      <c r="Q38" s="81">
        <v>102.4</v>
      </c>
      <c r="R38" s="81">
        <v>103.6</v>
      </c>
      <c r="S38" s="81">
        <v>105</v>
      </c>
      <c r="T38" s="81">
        <v>106.4</v>
      </c>
      <c r="U38" s="81">
        <v>111.3</v>
      </c>
      <c r="V38" s="81">
        <v>112.5</v>
      </c>
      <c r="W38" s="81">
        <v>118.5</v>
      </c>
      <c r="X38" s="81">
        <v>125.2</v>
      </c>
      <c r="Y38" s="81">
        <v>135.69999999999999</v>
      </c>
      <c r="Z38" s="81">
        <v>138.30000000000001</v>
      </c>
      <c r="AA38" s="81">
        <v>138.9</v>
      </c>
      <c r="AB38" s="81">
        <v>141</v>
      </c>
      <c r="AC38" s="81">
        <v>147.30000000000001</v>
      </c>
      <c r="AD38" s="81">
        <v>143.30000000000001</v>
      </c>
      <c r="AE38" s="81">
        <v>136.1</v>
      </c>
      <c r="AF38" s="81">
        <v>137.5</v>
      </c>
      <c r="AG38" s="81">
        <v>140</v>
      </c>
    </row>
    <row r="39" spans="1:33">
      <c r="C39" s="24" t="s">
        <v>125</v>
      </c>
      <c r="D39" s="60" t="s">
        <v>156</v>
      </c>
      <c r="E39" s="81">
        <v>107.2</v>
      </c>
      <c r="F39" s="81">
        <v>105.9</v>
      </c>
      <c r="G39" s="81">
        <v>105.5</v>
      </c>
      <c r="H39" s="81">
        <v>105.8</v>
      </c>
      <c r="I39" s="81">
        <v>107.7</v>
      </c>
      <c r="J39" s="81">
        <v>107.2</v>
      </c>
      <c r="K39" s="81">
        <v>109.1</v>
      </c>
      <c r="L39" s="81">
        <v>110.7</v>
      </c>
      <c r="M39" s="81">
        <v>115.7</v>
      </c>
      <c r="N39" s="81">
        <v>110.9</v>
      </c>
      <c r="O39" s="81">
        <v>112.8</v>
      </c>
      <c r="P39" s="81">
        <v>111.9</v>
      </c>
      <c r="Q39" s="81">
        <v>111.2</v>
      </c>
      <c r="R39" s="81">
        <v>112.5</v>
      </c>
      <c r="S39" s="81">
        <v>111.3</v>
      </c>
      <c r="T39" s="81">
        <v>113.9</v>
      </c>
      <c r="U39" s="81">
        <v>113.2</v>
      </c>
      <c r="V39" s="81">
        <v>117.1</v>
      </c>
      <c r="W39" s="81">
        <v>119.7</v>
      </c>
      <c r="X39" s="81">
        <v>124.1</v>
      </c>
      <c r="Y39" s="81">
        <v>130.69999999999999</v>
      </c>
      <c r="Z39" s="81">
        <v>135.4</v>
      </c>
      <c r="AA39" s="81">
        <v>135.80000000000001</v>
      </c>
      <c r="AB39" s="81">
        <v>135.9</v>
      </c>
      <c r="AC39" s="81">
        <v>134.80000000000001</v>
      </c>
      <c r="AD39" s="81">
        <v>132.9</v>
      </c>
      <c r="AE39" s="81">
        <v>131.9</v>
      </c>
      <c r="AF39" s="81">
        <v>132.5</v>
      </c>
      <c r="AG39" s="81">
        <v>132.9</v>
      </c>
    </row>
    <row r="40" spans="1:33">
      <c r="C40" s="24" t="s">
        <v>171</v>
      </c>
      <c r="D40" s="60" t="s">
        <v>156</v>
      </c>
      <c r="E40" s="81">
        <v>103.4</v>
      </c>
      <c r="F40" s="81">
        <v>103.3</v>
      </c>
      <c r="G40" s="81">
        <v>98.4</v>
      </c>
      <c r="H40" s="81">
        <v>98.9</v>
      </c>
      <c r="I40" s="81">
        <v>97.7</v>
      </c>
      <c r="J40" s="81">
        <v>95.8</v>
      </c>
      <c r="K40" s="81">
        <v>98.8</v>
      </c>
      <c r="L40" s="81">
        <v>98.7</v>
      </c>
      <c r="M40" s="81">
        <v>99.1</v>
      </c>
      <c r="N40" s="81">
        <v>99.1</v>
      </c>
      <c r="O40" s="81">
        <v>100</v>
      </c>
      <c r="P40" s="81">
        <v>99.7</v>
      </c>
      <c r="Q40" s="81">
        <v>100.4</v>
      </c>
      <c r="R40" s="81">
        <v>101</v>
      </c>
      <c r="S40" s="81">
        <v>103.6</v>
      </c>
      <c r="T40" s="81">
        <v>104.5</v>
      </c>
      <c r="U40" s="81">
        <v>104.9</v>
      </c>
      <c r="V40" s="81">
        <v>103.7</v>
      </c>
      <c r="W40" s="81">
        <v>109.8</v>
      </c>
      <c r="X40" s="81">
        <v>108.7</v>
      </c>
      <c r="Y40" s="81">
        <v>116.2</v>
      </c>
      <c r="Z40" s="81">
        <v>118.8</v>
      </c>
      <c r="AA40" s="81">
        <v>118.1</v>
      </c>
      <c r="AB40" s="81">
        <v>118</v>
      </c>
      <c r="AC40" s="81">
        <v>123</v>
      </c>
      <c r="AD40" s="81">
        <v>124.1</v>
      </c>
      <c r="AE40" s="81">
        <v>122.7</v>
      </c>
      <c r="AF40" s="81">
        <v>122.7</v>
      </c>
      <c r="AG40" s="81">
        <v>127</v>
      </c>
    </row>
    <row r="41" spans="1:33">
      <c r="C41" s="24" t="s">
        <v>128</v>
      </c>
      <c r="D41" s="60" t="s">
        <v>156</v>
      </c>
      <c r="E41" s="81">
        <v>96</v>
      </c>
      <c r="F41" s="81">
        <v>96.7</v>
      </c>
      <c r="G41" s="81">
        <v>99.1</v>
      </c>
      <c r="H41" s="81">
        <v>97.8</v>
      </c>
      <c r="I41" s="81">
        <v>98.1</v>
      </c>
      <c r="J41" s="81">
        <v>98.3</v>
      </c>
      <c r="K41" s="81">
        <v>96.6</v>
      </c>
      <c r="L41" s="81">
        <v>93.9</v>
      </c>
      <c r="M41" s="81">
        <v>95.7</v>
      </c>
      <c r="N41" s="81">
        <v>100.2</v>
      </c>
      <c r="O41" s="81">
        <v>103.6</v>
      </c>
      <c r="P41" s="81">
        <v>104.9</v>
      </c>
      <c r="Q41" s="81">
        <v>106.3</v>
      </c>
      <c r="R41" s="81">
        <v>100.1</v>
      </c>
      <c r="S41" s="81">
        <v>98.2</v>
      </c>
      <c r="T41" s="81">
        <v>110.2</v>
      </c>
      <c r="U41" s="81">
        <v>107.2</v>
      </c>
      <c r="V41" s="81">
        <v>113.3</v>
      </c>
      <c r="W41" s="81">
        <v>117.2</v>
      </c>
      <c r="X41" s="81">
        <v>124</v>
      </c>
      <c r="Y41" s="81">
        <v>108.9</v>
      </c>
      <c r="Z41" s="81">
        <v>125.8</v>
      </c>
      <c r="AA41" s="81">
        <v>134.80000000000001</v>
      </c>
      <c r="AB41" s="81">
        <v>139.30000000000001</v>
      </c>
      <c r="AC41" s="81">
        <v>133.1</v>
      </c>
      <c r="AD41" s="81">
        <v>129.4</v>
      </c>
      <c r="AE41" s="81">
        <v>134.19999999999999</v>
      </c>
      <c r="AF41" s="81">
        <v>125.6</v>
      </c>
      <c r="AG41" s="81">
        <v>131</v>
      </c>
    </row>
    <row r="42" spans="1:33">
      <c r="C42" s="24" t="s">
        <v>169</v>
      </c>
      <c r="D42" s="60" t="s">
        <v>156</v>
      </c>
      <c r="E42" s="81">
        <v>108.4</v>
      </c>
      <c r="F42" s="81">
        <v>109.4</v>
      </c>
      <c r="G42" s="81">
        <v>112.2</v>
      </c>
      <c r="H42" s="81">
        <v>113.2</v>
      </c>
      <c r="I42" s="81">
        <v>114.2</v>
      </c>
      <c r="J42" s="81">
        <v>114.5</v>
      </c>
      <c r="K42" s="81">
        <v>115.6</v>
      </c>
      <c r="L42" s="81">
        <v>116.9</v>
      </c>
      <c r="M42" s="81">
        <v>117.3</v>
      </c>
      <c r="N42" s="81">
        <v>118.2</v>
      </c>
      <c r="O42" s="81">
        <v>116.9</v>
      </c>
      <c r="P42" s="81">
        <v>116.6</v>
      </c>
      <c r="Q42" s="81">
        <v>117</v>
      </c>
      <c r="R42" s="81">
        <v>118.2</v>
      </c>
      <c r="S42" s="81">
        <v>121</v>
      </c>
      <c r="T42" s="81">
        <v>125.7</v>
      </c>
      <c r="U42" s="81">
        <v>130.69999999999999</v>
      </c>
      <c r="V42" s="81">
        <v>136</v>
      </c>
      <c r="W42" s="81">
        <v>142.9</v>
      </c>
      <c r="X42" s="81">
        <v>143.5</v>
      </c>
      <c r="Y42" s="81">
        <v>144.9</v>
      </c>
      <c r="Z42" s="81">
        <v>144.1</v>
      </c>
      <c r="AA42" s="81">
        <v>145</v>
      </c>
      <c r="AB42" s="81">
        <v>146.19999999999999</v>
      </c>
      <c r="AC42" s="81">
        <v>146.69999999999999</v>
      </c>
      <c r="AD42" s="81">
        <v>147.1</v>
      </c>
      <c r="AE42" s="81">
        <v>149.9</v>
      </c>
      <c r="AF42" s="81">
        <v>150.69999999999999</v>
      </c>
      <c r="AG42" s="81">
        <v>154.19999999999999</v>
      </c>
    </row>
    <row r="43" spans="1:33">
      <c r="A43" t="s">
        <v>2</v>
      </c>
      <c r="D43" s="61"/>
      <c r="E43" s="81"/>
      <c r="F43" s="81"/>
      <c r="G43" s="81"/>
      <c r="H43" s="81"/>
      <c r="I43" s="81"/>
      <c r="J43" s="81"/>
      <c r="K43" s="81"/>
      <c r="L43" s="81"/>
      <c r="M43" s="81"/>
      <c r="N43" s="81"/>
      <c r="O43" s="81"/>
      <c r="P43" s="81"/>
      <c r="Q43" s="81"/>
      <c r="R43" s="81"/>
      <c r="S43" s="81"/>
      <c r="T43" s="81"/>
      <c r="U43" s="81"/>
      <c r="V43" s="81"/>
      <c r="W43" s="81"/>
      <c r="X43" s="81"/>
      <c r="Y43" s="81"/>
      <c r="Z43" s="81"/>
    </row>
    <row r="44" spans="1:33">
      <c r="A44" s="23" t="s">
        <v>172</v>
      </c>
      <c r="D44" s="61"/>
      <c r="E44" s="81"/>
      <c r="F44" s="81"/>
      <c r="G44" s="81"/>
      <c r="H44" s="81"/>
      <c r="I44" s="81"/>
      <c r="J44" s="81"/>
      <c r="K44" s="81"/>
      <c r="L44" s="81"/>
      <c r="M44" s="81"/>
      <c r="N44" s="81"/>
      <c r="O44" s="81"/>
      <c r="P44" s="81"/>
      <c r="Q44" s="81"/>
      <c r="R44" s="81"/>
      <c r="S44" s="81"/>
      <c r="T44" s="81"/>
      <c r="U44" s="81"/>
      <c r="V44" s="81"/>
      <c r="W44" s="81"/>
      <c r="X44" s="81"/>
      <c r="Y44" s="81"/>
      <c r="Z44" s="81"/>
    </row>
    <row r="45" spans="1:33">
      <c r="B45" s="23" t="s">
        <v>181</v>
      </c>
      <c r="D45" s="61"/>
      <c r="E45" s="81"/>
      <c r="F45" s="81"/>
      <c r="G45" s="81"/>
      <c r="H45" s="81"/>
      <c r="I45" s="81"/>
      <c r="J45" s="81"/>
      <c r="K45" s="81"/>
      <c r="L45" s="81"/>
      <c r="M45" s="81"/>
      <c r="N45" s="81"/>
      <c r="O45" s="81"/>
      <c r="P45" s="81"/>
      <c r="Q45" s="81"/>
      <c r="R45" s="81"/>
      <c r="S45" s="81"/>
      <c r="T45" s="81"/>
      <c r="U45" s="81"/>
      <c r="V45" s="81"/>
      <c r="W45" s="81"/>
      <c r="X45" s="81"/>
      <c r="Y45" s="81"/>
      <c r="Z45" s="81"/>
    </row>
    <row r="46" spans="1:33">
      <c r="C46" s="24" t="s">
        <v>175</v>
      </c>
      <c r="D46" s="60" t="s">
        <v>156</v>
      </c>
      <c r="E46" s="81">
        <v>84.914923025594604</v>
      </c>
      <c r="F46" s="81">
        <v>87.841380296458695</v>
      </c>
      <c r="G46" s="81">
        <v>87.412420761641499</v>
      </c>
      <c r="H46" s="81">
        <v>87.431485629855601</v>
      </c>
      <c r="I46" s="81">
        <v>87.841380296458695</v>
      </c>
      <c r="J46" s="81">
        <v>88.298937133597093</v>
      </c>
      <c r="K46" s="81">
        <v>87</v>
      </c>
      <c r="L46" s="81">
        <v>85.085999999999999</v>
      </c>
      <c r="M46" s="81">
        <v>83.384280000000004</v>
      </c>
      <c r="N46" s="81">
        <v>83.30089572</v>
      </c>
      <c r="O46" s="81">
        <v>81.718178701319999</v>
      </c>
      <c r="P46" s="81">
        <v>82.862233203138501</v>
      </c>
      <c r="Q46" s="81">
        <v>83.525131068763599</v>
      </c>
      <c r="R46" s="81">
        <v>84.945058296932601</v>
      </c>
      <c r="S46" s="81">
        <v>88.257915570512907</v>
      </c>
      <c r="T46" s="81">
        <v>89.670042219641104</v>
      </c>
      <c r="U46" s="81">
        <v>92.180803401791096</v>
      </c>
      <c r="V46" s="81">
        <v>94.024419469826896</v>
      </c>
      <c r="W46" s="81">
        <v>94.306492728236407</v>
      </c>
      <c r="X46" s="81">
        <v>96.583398922283493</v>
      </c>
      <c r="Y46" s="81">
        <v>97.740363451779004</v>
      </c>
      <c r="Z46" s="81">
        <v>101.83139002807501</v>
      </c>
      <c r="AA46" s="81">
        <v>103.006865990042</v>
      </c>
      <c r="AB46" s="81">
        <v>98.777003670206994</v>
      </c>
      <c r="AC46" s="81">
        <v>97.786642032958795</v>
      </c>
      <c r="AD46" s="81">
        <v>97.832920614138601</v>
      </c>
      <c r="AE46" s="81">
        <v>97.851432046610597</v>
      </c>
      <c r="AF46" s="81">
        <v>100.887306972007</v>
      </c>
      <c r="AG46" s="81">
        <v>96.296471718968604</v>
      </c>
    </row>
    <row r="47" spans="1:33">
      <c r="C47" s="24" t="s">
        <v>174</v>
      </c>
      <c r="D47" s="60" t="s">
        <v>156</v>
      </c>
      <c r="E47" s="81">
        <v>80.412417348425393</v>
      </c>
      <c r="F47" s="81">
        <v>81.111733721842398</v>
      </c>
      <c r="G47" s="81">
        <v>80.941387425753703</v>
      </c>
      <c r="H47" s="81">
        <v>79.336546004706904</v>
      </c>
      <c r="I47" s="81">
        <v>80.815869102319894</v>
      </c>
      <c r="J47" s="81">
        <v>82.815196682730004</v>
      </c>
      <c r="K47" s="81">
        <v>82.401120699316394</v>
      </c>
      <c r="L47" s="81">
        <v>82.318719578617007</v>
      </c>
      <c r="M47" s="81">
        <v>79.849157991258494</v>
      </c>
      <c r="N47" s="81">
        <v>76.495493355625698</v>
      </c>
      <c r="O47" s="81">
        <v>72.823709674555602</v>
      </c>
      <c r="P47" s="81">
        <v>73.988889029348499</v>
      </c>
      <c r="Q47" s="81">
        <v>75.024733475759405</v>
      </c>
      <c r="R47" s="81">
        <v>76.150104477895795</v>
      </c>
      <c r="S47" s="81">
        <v>76.911605522674705</v>
      </c>
      <c r="T47" s="81">
        <v>76.373224284016004</v>
      </c>
      <c r="U47" s="81">
        <v>80.115512273932794</v>
      </c>
      <c r="V47" s="81">
        <v>82.759324178972506</v>
      </c>
      <c r="W47" s="81">
        <v>87.1455683604581</v>
      </c>
      <c r="X47" s="81">
        <v>94.413541096721701</v>
      </c>
      <c r="Y47" s="81">
        <v>94.714041724839305</v>
      </c>
      <c r="Z47" s="81">
        <v>100.977601692167</v>
      </c>
      <c r="AA47" s="81">
        <v>104.564827940322</v>
      </c>
      <c r="AB47" s="81">
        <v>104.095295708888</v>
      </c>
      <c r="AC47" s="81">
        <v>102.320463874068</v>
      </c>
      <c r="AD47" s="81">
        <v>101.672509394689</v>
      </c>
      <c r="AE47" s="81">
        <v>98.6299405349978</v>
      </c>
      <c r="AF47" s="81">
        <v>96.188372931541707</v>
      </c>
      <c r="AG47" s="81">
        <v>92.582365394129596</v>
      </c>
    </row>
    <row r="48" spans="1:33">
      <c r="A48" s="25"/>
      <c r="B48" s="25"/>
      <c r="C48" s="26" t="s">
        <v>173</v>
      </c>
      <c r="D48" s="62" t="s">
        <v>156</v>
      </c>
      <c r="E48" s="81">
        <v>88.394847300622402</v>
      </c>
      <c r="F48" s="81">
        <v>93.223331885945896</v>
      </c>
      <c r="G48" s="81">
        <v>92.702272398321</v>
      </c>
      <c r="H48" s="81">
        <v>88.858011289622198</v>
      </c>
      <c r="I48" s="81">
        <v>89.008539586047206</v>
      </c>
      <c r="J48" s="81">
        <v>86.530612244897995</v>
      </c>
      <c r="K48" s="81">
        <v>84.886530612244897</v>
      </c>
      <c r="L48" s="81">
        <v>81.236409795918405</v>
      </c>
      <c r="M48" s="81">
        <v>80.180336468571497</v>
      </c>
      <c r="N48" s="81">
        <v>80.260516805039998</v>
      </c>
      <c r="O48" s="81">
        <v>76.809314582423298</v>
      </c>
      <c r="P48" s="81">
        <v>79.036784705313593</v>
      </c>
      <c r="Q48" s="81">
        <v>85.201653912327998</v>
      </c>
      <c r="R48" s="81">
        <v>88.524518414908798</v>
      </c>
      <c r="S48" s="81">
        <v>97.288445737984802</v>
      </c>
      <c r="T48" s="81">
        <v>101.179983567504</v>
      </c>
      <c r="U48" s="81">
        <v>100.067003748262</v>
      </c>
      <c r="V48" s="81">
        <v>99.3665347220238</v>
      </c>
      <c r="W48" s="81">
        <v>104.632961062291</v>
      </c>
      <c r="X48" s="81">
        <v>99.007533048189401</v>
      </c>
      <c r="Y48" s="90">
        <v>95.632276239728398</v>
      </c>
      <c r="Z48" s="90">
        <v>96.757361842548704</v>
      </c>
      <c r="AA48" s="90">
        <v>94.507190636908106</v>
      </c>
      <c r="AB48" s="90">
        <v>86.631591417165694</v>
      </c>
      <c r="AC48" s="90">
        <v>87.756677019986</v>
      </c>
      <c r="AD48" s="90">
        <v>92.257019431267395</v>
      </c>
      <c r="AE48" s="90">
        <v>92.257019431267395</v>
      </c>
      <c r="AF48" s="90">
        <v>92.257019431267395</v>
      </c>
      <c r="AG48" s="90">
        <v>91.131933828447004</v>
      </c>
    </row>
    <row r="49" spans="1:33" ht="48" customHeight="1">
      <c r="A49" t="s">
        <v>2</v>
      </c>
      <c r="E49" s="172" t="s">
        <v>241</v>
      </c>
      <c r="F49" s="172"/>
      <c r="G49" s="172"/>
      <c r="H49" s="172"/>
      <c r="I49" s="172"/>
      <c r="J49" s="172"/>
      <c r="K49" s="172"/>
      <c r="L49" s="172"/>
      <c r="M49" s="172"/>
      <c r="N49" s="172"/>
      <c r="O49" s="172"/>
      <c r="P49" s="172"/>
      <c r="Q49" s="172"/>
      <c r="R49" s="172"/>
      <c r="S49" s="172"/>
      <c r="T49" s="172"/>
      <c r="U49" s="172"/>
      <c r="V49" s="172"/>
      <c r="W49" s="172"/>
      <c r="X49" s="172"/>
      <c r="Y49" s="172"/>
      <c r="Z49" s="172"/>
      <c r="AA49" s="172"/>
      <c r="AB49" s="172"/>
      <c r="AC49" s="172"/>
      <c r="AD49" s="172"/>
      <c r="AE49" s="172"/>
      <c r="AF49" s="172"/>
      <c r="AG49" s="172"/>
    </row>
    <row r="50" spans="1:33">
      <c r="A50" t="s">
        <v>2</v>
      </c>
    </row>
  </sheetData>
  <mergeCells count="2">
    <mergeCell ref="A2:AB2"/>
    <mergeCell ref="E49:AG49"/>
  </mergeCells>
  <phoneticPr fontId="14" type="noConversion"/>
  <conditionalFormatting sqref="E10:Z12 E43:Z48">
    <cfRule type="cellIs" dxfId="22" priority="30" operator="lessThan">
      <formula>0</formula>
    </cfRule>
  </conditionalFormatting>
  <conditionalFormatting sqref="E6:AG9">
    <cfRule type="cellIs" dxfId="21" priority="1" operator="lessThan">
      <formula>0</formula>
    </cfRule>
    <cfRule type="cellIs" dxfId="20" priority="2" operator="equal">
      <formula>0</formula>
    </cfRule>
  </conditionalFormatting>
  <conditionalFormatting sqref="E13:AG42">
    <cfRule type="cellIs" dxfId="19" priority="3" operator="lessThan">
      <formula>0</formula>
    </cfRule>
  </conditionalFormatting>
  <conditionalFormatting sqref="AA46:AG48">
    <cfRule type="cellIs" dxfId="18" priority="4"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EF29B-C968-496F-BBAD-34092DE6C4E5}">
  <dimension ref="A1:Z30"/>
  <sheetViews>
    <sheetView zoomScaleNormal="100" workbookViewId="0">
      <selection activeCell="A13" sqref="A13:N13"/>
    </sheetView>
  </sheetViews>
  <sheetFormatPr defaultColWidth="9.26953125" defaultRowHeight="14.5"/>
  <cols>
    <col min="1" max="1" width="3" customWidth="1"/>
    <col min="2" max="2" width="20.7265625" bestFit="1" customWidth="1"/>
    <col min="3" max="3" width="6.453125" bestFit="1" customWidth="1"/>
    <col min="4" max="19" width="7.26953125" bestFit="1" customWidth="1"/>
    <col min="20" max="26" width="7.1796875" customWidth="1"/>
  </cols>
  <sheetData>
    <row r="1" spans="1:26" ht="71.25" customHeight="1">
      <c r="A1" t="s">
        <v>2</v>
      </c>
    </row>
    <row r="2" spans="1:26" ht="21">
      <c r="A2" s="162" t="s">
        <v>231</v>
      </c>
      <c r="B2" s="162"/>
      <c r="C2" s="162"/>
      <c r="D2" s="162"/>
      <c r="E2" s="162"/>
      <c r="F2" s="162"/>
      <c r="G2" s="162"/>
      <c r="H2" s="162"/>
      <c r="I2" s="162"/>
      <c r="J2" s="162"/>
      <c r="K2" s="162"/>
      <c r="L2" s="162"/>
      <c r="M2" s="162"/>
      <c r="N2" s="162"/>
      <c r="O2" s="162"/>
      <c r="P2" s="162"/>
      <c r="Q2" s="162"/>
      <c r="R2" s="162"/>
      <c r="S2" s="162"/>
      <c r="T2" s="162"/>
      <c r="U2" s="162"/>
      <c r="V2" s="162"/>
      <c r="W2" s="162"/>
      <c r="X2" s="162"/>
    </row>
    <row r="3" spans="1:26" s="21" customFormat="1" ht="15" customHeight="1">
      <c r="A3" s="64" t="s">
        <v>38</v>
      </c>
      <c r="B3" s="64" t="s">
        <v>38</v>
      </c>
      <c r="C3" s="66" t="s">
        <v>37</v>
      </c>
      <c r="D3" s="64" t="s">
        <v>296</v>
      </c>
      <c r="E3" s="64" t="s">
        <v>297</v>
      </c>
      <c r="F3" s="64" t="s">
        <v>298</v>
      </c>
      <c r="G3" s="64" t="s">
        <v>299</v>
      </c>
      <c r="H3" s="64" t="s">
        <v>300</v>
      </c>
      <c r="I3" s="64" t="s">
        <v>281</v>
      </c>
      <c r="J3" s="64" t="s">
        <v>282</v>
      </c>
      <c r="K3" s="64" t="s">
        <v>283</v>
      </c>
      <c r="L3" s="64" t="s">
        <v>284</v>
      </c>
      <c r="M3" s="64" t="s">
        <v>285</v>
      </c>
      <c r="N3" s="64" t="s">
        <v>286</v>
      </c>
      <c r="O3" s="64" t="s">
        <v>287</v>
      </c>
      <c r="P3" s="64" t="s">
        <v>288</v>
      </c>
      <c r="Q3" s="64" t="s">
        <v>289</v>
      </c>
      <c r="R3" s="64" t="s">
        <v>290</v>
      </c>
      <c r="S3" s="64" t="s">
        <v>291</v>
      </c>
      <c r="T3" s="64" t="s">
        <v>292</v>
      </c>
      <c r="U3" s="64" t="s">
        <v>293</v>
      </c>
      <c r="V3" s="64" t="s">
        <v>294</v>
      </c>
      <c r="W3" s="64" t="s">
        <v>295</v>
      </c>
      <c r="X3" s="64" t="s">
        <v>305</v>
      </c>
      <c r="Y3" s="64" t="s">
        <v>313</v>
      </c>
      <c r="Z3" s="64" t="s">
        <v>328</v>
      </c>
    </row>
    <row r="4" spans="1:26">
      <c r="A4" s="22" t="s">
        <v>214</v>
      </c>
      <c r="C4" s="61"/>
    </row>
    <row r="5" spans="1:26">
      <c r="B5" s="24" t="s">
        <v>41</v>
      </c>
      <c r="C5" s="58" t="s">
        <v>269</v>
      </c>
      <c r="D5" s="82">
        <v>1406.9123104</v>
      </c>
      <c r="E5" s="82">
        <v>1390.3831304</v>
      </c>
      <c r="F5" s="82">
        <v>1388.8016247999999</v>
      </c>
      <c r="G5" s="82">
        <v>1377.0232100000001</v>
      </c>
      <c r="H5" s="82">
        <v>1308.9443404000001</v>
      </c>
      <c r="I5" s="82">
        <v>1237.3052029999999</v>
      </c>
      <c r="J5" s="82">
        <v>1172.0398</v>
      </c>
      <c r="K5" s="82">
        <v>955.98369089056996</v>
      </c>
      <c r="L5" s="82">
        <v>646.12859802361595</v>
      </c>
      <c r="M5" s="82">
        <v>517.96849962088595</v>
      </c>
      <c r="N5" s="82">
        <v>784.09681987866395</v>
      </c>
      <c r="O5" s="82">
        <v>790.38602063737096</v>
      </c>
      <c r="P5" s="82">
        <v>653.11153914523402</v>
      </c>
      <c r="Q5" s="82">
        <v>575.31686213788396</v>
      </c>
      <c r="R5" s="82">
        <v>738.911890373706</v>
      </c>
      <c r="S5" s="82">
        <v>781.89249759869097</v>
      </c>
      <c r="T5" s="82">
        <v>736.79745167172098</v>
      </c>
      <c r="U5" s="82">
        <v>702.338130439407</v>
      </c>
      <c r="V5" s="82">
        <v>641.43117678457895</v>
      </c>
      <c r="W5" s="82">
        <v>665.34536668303099</v>
      </c>
      <c r="X5" s="82">
        <v>619.42809406118295</v>
      </c>
      <c r="Y5" s="82">
        <v>387.22723016113201</v>
      </c>
      <c r="Z5" s="82">
        <v>500.46666143390303</v>
      </c>
    </row>
    <row r="6" spans="1:26">
      <c r="B6" s="24" t="s">
        <v>182</v>
      </c>
      <c r="C6" s="58" t="s">
        <v>269</v>
      </c>
      <c r="D6" s="82">
        <v>3710.8846440000002</v>
      </c>
      <c r="E6" s="82">
        <v>3955.0035819999998</v>
      </c>
      <c r="F6" s="82">
        <v>4307.0796087999997</v>
      </c>
      <c r="G6" s="82">
        <v>4160.2378339999996</v>
      </c>
      <c r="H6" s="82">
        <v>4066.3728189600001</v>
      </c>
      <c r="I6" s="82">
        <v>4074.7959635000002</v>
      </c>
      <c r="J6" s="82">
        <v>4557.8561330000002</v>
      </c>
      <c r="K6" s="82">
        <v>4062.6712280071902</v>
      </c>
      <c r="L6" s="82">
        <v>4795.3401895856196</v>
      </c>
      <c r="M6" s="82">
        <v>4183.7375831705003</v>
      </c>
      <c r="N6" s="82">
        <v>4005.9638200561799</v>
      </c>
      <c r="O6" s="82">
        <v>4179.2345984471804</v>
      </c>
      <c r="P6" s="82">
        <v>4406.4777569031303</v>
      </c>
      <c r="Q6" s="82">
        <v>4585.1572125703497</v>
      </c>
      <c r="R6" s="82">
        <v>4391.1027372919798</v>
      </c>
      <c r="S6" s="82">
        <v>4313.9337163197097</v>
      </c>
      <c r="T6" s="82">
        <v>4533.6864004907002</v>
      </c>
      <c r="U6" s="82">
        <v>4436.2780273153903</v>
      </c>
      <c r="V6" s="82">
        <v>4005.3489054287302</v>
      </c>
      <c r="W6" s="82">
        <v>4297.6426650216899</v>
      </c>
      <c r="X6" s="82">
        <v>4573.5916994925901</v>
      </c>
      <c r="Y6" s="82">
        <v>4375.0780124161001</v>
      </c>
      <c r="Z6" s="82">
        <v>3620.6843516630802</v>
      </c>
    </row>
    <row r="7" spans="1:26">
      <c r="B7" s="24" t="s">
        <v>87</v>
      </c>
      <c r="C7" s="58" t="s">
        <v>269</v>
      </c>
      <c r="D7" s="82">
        <v>5117.7969543999998</v>
      </c>
      <c r="E7" s="82">
        <v>5345.3867123999999</v>
      </c>
      <c r="F7" s="82">
        <v>5695.8812336000001</v>
      </c>
      <c r="G7" s="82">
        <v>5537.2610439999999</v>
      </c>
      <c r="H7" s="82">
        <v>5375.31715936</v>
      </c>
      <c r="I7" s="82">
        <v>5312.1011664999996</v>
      </c>
      <c r="J7" s="82">
        <v>5729.8959329999998</v>
      </c>
      <c r="K7" s="82">
        <v>5018.6549188977597</v>
      </c>
      <c r="L7" s="82">
        <v>5441.4687876092403</v>
      </c>
      <c r="M7" s="82">
        <v>4701.7060827913901</v>
      </c>
      <c r="N7" s="82">
        <v>4790.0606399348399</v>
      </c>
      <c r="O7" s="82">
        <v>4969.6206190845496</v>
      </c>
      <c r="P7" s="82">
        <v>5059.5892960483598</v>
      </c>
      <c r="Q7" s="82">
        <v>5160.4740747082296</v>
      </c>
      <c r="R7" s="82">
        <v>5130.0146276656897</v>
      </c>
      <c r="S7" s="82">
        <v>5095.8262139183998</v>
      </c>
      <c r="T7" s="82">
        <v>5270.4838521624197</v>
      </c>
      <c r="U7" s="82">
        <v>5138.6161577548</v>
      </c>
      <c r="V7" s="82">
        <v>4646.7800822133104</v>
      </c>
      <c r="W7" s="82">
        <v>4962.98803170472</v>
      </c>
      <c r="X7" s="82">
        <v>5193.0197935537699</v>
      </c>
      <c r="Y7" s="82">
        <v>4762.3052425772303</v>
      </c>
      <c r="Z7" s="82">
        <v>4121.15101309698</v>
      </c>
    </row>
    <row r="8" spans="1:26">
      <c r="A8" t="s">
        <v>2</v>
      </c>
      <c r="C8" s="61"/>
      <c r="D8" s="82"/>
      <c r="E8" s="82"/>
      <c r="F8" s="82"/>
      <c r="G8" s="82"/>
      <c r="H8" s="82"/>
      <c r="I8" s="82"/>
      <c r="J8" s="82"/>
      <c r="K8" s="82"/>
      <c r="L8" s="82"/>
      <c r="M8" s="82"/>
      <c r="N8" s="82"/>
      <c r="O8" s="82"/>
      <c r="P8" s="82"/>
      <c r="Q8" s="82"/>
      <c r="R8" s="82"/>
      <c r="S8" s="82"/>
      <c r="T8" s="82"/>
      <c r="U8" s="82"/>
      <c r="V8" s="82"/>
      <c r="W8" s="82"/>
      <c r="X8" s="82"/>
      <c r="Y8" s="82"/>
      <c r="Z8" s="82"/>
    </row>
    <row r="9" spans="1:26">
      <c r="A9" s="23" t="s">
        <v>50</v>
      </c>
      <c r="C9" s="61"/>
      <c r="D9" s="82"/>
      <c r="E9" s="82"/>
      <c r="F9" s="82"/>
      <c r="G9" s="82"/>
      <c r="H9" s="82"/>
      <c r="I9" s="82"/>
      <c r="J9" s="82"/>
      <c r="K9" s="82"/>
      <c r="L9" s="82"/>
      <c r="M9" s="82"/>
      <c r="N9" s="82"/>
      <c r="O9" s="82"/>
      <c r="P9" s="82"/>
      <c r="Q9" s="82"/>
      <c r="R9" s="82"/>
      <c r="S9" s="82"/>
      <c r="T9" s="82"/>
      <c r="U9" s="82"/>
      <c r="V9" s="82"/>
      <c r="W9" s="82"/>
      <c r="X9" s="82"/>
      <c r="Y9" s="82"/>
      <c r="Z9" s="82"/>
    </row>
    <row r="10" spans="1:26">
      <c r="B10" s="24" t="s">
        <v>183</v>
      </c>
      <c r="C10" s="58" t="s">
        <v>269</v>
      </c>
      <c r="D10" s="82">
        <v>296.947</v>
      </c>
      <c r="E10" s="82">
        <v>375.041155</v>
      </c>
      <c r="F10" s="82">
        <v>326.25730800000002</v>
      </c>
      <c r="G10" s="82">
        <v>359.376688</v>
      </c>
      <c r="H10" s="82">
        <v>367.68964999999997</v>
      </c>
      <c r="I10" s="82">
        <v>385.53696500000001</v>
      </c>
      <c r="J10" s="82">
        <v>367.93592000000001</v>
      </c>
      <c r="K10" s="82">
        <v>223.568656</v>
      </c>
      <c r="L10" s="82">
        <v>270.67956800000002</v>
      </c>
      <c r="M10" s="82">
        <v>320.17210619999997</v>
      </c>
      <c r="N10" s="82">
        <v>397.56984440000002</v>
      </c>
      <c r="O10" s="82">
        <v>376.85141800000002</v>
      </c>
      <c r="P10" s="82">
        <v>399.11021620000002</v>
      </c>
      <c r="Q10" s="82">
        <v>486.080082</v>
      </c>
      <c r="R10" s="82">
        <v>497.25155999999998</v>
      </c>
      <c r="S10" s="82">
        <v>518.77155700000003</v>
      </c>
      <c r="T10" s="82">
        <v>668.47681299999999</v>
      </c>
      <c r="U10" s="82">
        <v>640.82080499999995</v>
      </c>
      <c r="V10" s="82">
        <v>592.52001499999994</v>
      </c>
      <c r="W10" s="82" t="s">
        <v>211</v>
      </c>
      <c r="X10" s="82" t="s">
        <v>211</v>
      </c>
      <c r="Y10" s="82" t="s">
        <v>211</v>
      </c>
      <c r="Z10" s="82" t="s">
        <v>211</v>
      </c>
    </row>
    <row r="11" spans="1:26">
      <c r="B11" s="24" t="s">
        <v>184</v>
      </c>
      <c r="C11" s="58" t="s">
        <v>269</v>
      </c>
      <c r="D11" s="82">
        <v>1015.04</v>
      </c>
      <c r="E11" s="82">
        <v>1111.2660000000001</v>
      </c>
      <c r="F11" s="82">
        <v>1115.5171499999999</v>
      </c>
      <c r="G11" s="82">
        <v>1018.44591</v>
      </c>
      <c r="H11" s="82">
        <v>1124.9077</v>
      </c>
      <c r="I11" s="82">
        <v>1040.906735</v>
      </c>
      <c r="J11" s="82">
        <v>1030.4967140000001</v>
      </c>
      <c r="K11" s="82">
        <v>905.07342900000003</v>
      </c>
      <c r="L11" s="82">
        <v>964.189348</v>
      </c>
      <c r="M11" s="82">
        <v>1016.60151</v>
      </c>
      <c r="N11" s="82">
        <v>938.307458</v>
      </c>
      <c r="O11" s="82">
        <v>916.64760799999999</v>
      </c>
      <c r="P11" s="82">
        <v>944.30277999999998</v>
      </c>
      <c r="Q11" s="82">
        <v>985.92459799999995</v>
      </c>
      <c r="R11" s="82">
        <v>1033.220941</v>
      </c>
      <c r="S11" s="82">
        <v>1087.236024</v>
      </c>
      <c r="T11" s="82" t="s">
        <v>211</v>
      </c>
      <c r="U11" s="82" t="s">
        <v>211</v>
      </c>
      <c r="V11" s="82" t="s">
        <v>211</v>
      </c>
      <c r="W11" s="82" t="s">
        <v>211</v>
      </c>
      <c r="X11" s="82" t="s">
        <v>211</v>
      </c>
      <c r="Y11" s="82" t="s">
        <v>211</v>
      </c>
      <c r="Z11" s="82" t="s">
        <v>211</v>
      </c>
    </row>
    <row r="12" spans="1:26">
      <c r="B12" s="24" t="s">
        <v>185</v>
      </c>
      <c r="C12" s="58" t="s">
        <v>269</v>
      </c>
      <c r="D12" s="82">
        <v>397.24099999999999</v>
      </c>
      <c r="E12" s="82">
        <v>462.59199999999998</v>
      </c>
      <c r="F12" s="82">
        <v>433.17446999999999</v>
      </c>
      <c r="G12" s="82">
        <v>351.47532000000001</v>
      </c>
      <c r="H12" s="82">
        <v>385.08652999999998</v>
      </c>
      <c r="I12" s="82">
        <v>428.99798199999998</v>
      </c>
      <c r="J12" s="82">
        <v>544.27060400000005</v>
      </c>
      <c r="K12" s="82">
        <v>449.31508100000002</v>
      </c>
      <c r="L12" s="82">
        <v>468.27147100000002</v>
      </c>
      <c r="M12" s="82">
        <v>532.87985300000003</v>
      </c>
      <c r="N12" s="82">
        <v>479.35067400000003</v>
      </c>
      <c r="O12" s="82">
        <v>483.92956400000003</v>
      </c>
      <c r="P12" s="82">
        <v>386.24471399999999</v>
      </c>
      <c r="Q12" s="82">
        <v>466.911359</v>
      </c>
      <c r="R12" s="82">
        <v>577.17335200000002</v>
      </c>
      <c r="S12" s="82">
        <v>625.48256100000003</v>
      </c>
      <c r="T12" s="82" t="s">
        <v>211</v>
      </c>
      <c r="U12" s="82" t="s">
        <v>211</v>
      </c>
      <c r="V12" s="82" t="s">
        <v>211</v>
      </c>
      <c r="W12" s="82" t="s">
        <v>211</v>
      </c>
      <c r="X12" s="82" t="s">
        <v>211</v>
      </c>
      <c r="Y12" s="82" t="s">
        <v>211</v>
      </c>
      <c r="Z12" s="82" t="s">
        <v>211</v>
      </c>
    </row>
    <row r="13" spans="1:26">
      <c r="B13" s="11" t="s">
        <v>230</v>
      </c>
      <c r="C13" s="58" t="s">
        <v>269</v>
      </c>
      <c r="D13" s="82">
        <v>1709.2280000000001</v>
      </c>
      <c r="E13" s="82">
        <v>1948.8991550000001</v>
      </c>
      <c r="F13" s="82">
        <v>1874.948928</v>
      </c>
      <c r="G13" s="82">
        <v>1729.297918</v>
      </c>
      <c r="H13" s="82">
        <v>1877.68388</v>
      </c>
      <c r="I13" s="82">
        <v>1855.4416819999999</v>
      </c>
      <c r="J13" s="82">
        <v>1942.7032380000001</v>
      </c>
      <c r="K13" s="82">
        <v>1577.9571659999999</v>
      </c>
      <c r="L13" s="82">
        <v>1703.1403869999999</v>
      </c>
      <c r="M13" s="82">
        <v>1869.6534692</v>
      </c>
      <c r="N13" s="82">
        <v>1815.2279764</v>
      </c>
      <c r="O13" s="82">
        <v>1777.42859</v>
      </c>
      <c r="P13" s="82">
        <v>1729.6577102000001</v>
      </c>
      <c r="Q13" s="82">
        <v>1938.916039</v>
      </c>
      <c r="R13" s="82">
        <v>2107.645853</v>
      </c>
      <c r="S13" s="82">
        <v>2231.4901420000001</v>
      </c>
      <c r="T13" s="82" t="s">
        <v>211</v>
      </c>
      <c r="U13" s="82" t="s">
        <v>211</v>
      </c>
      <c r="V13" s="82" t="s">
        <v>211</v>
      </c>
      <c r="W13" s="82" t="s">
        <v>211</v>
      </c>
      <c r="X13" s="82" t="s">
        <v>211</v>
      </c>
      <c r="Y13" s="82" t="s">
        <v>211</v>
      </c>
      <c r="Z13" s="82" t="s">
        <v>211</v>
      </c>
    </row>
    <row r="14" spans="1:26">
      <c r="A14" t="s">
        <v>2</v>
      </c>
      <c r="C14" s="61"/>
      <c r="D14" s="82"/>
      <c r="E14" s="82"/>
      <c r="F14" s="82"/>
      <c r="G14" s="82"/>
      <c r="H14" s="82"/>
      <c r="I14" s="82"/>
      <c r="J14" s="82"/>
      <c r="K14" s="82"/>
      <c r="L14" s="82"/>
      <c r="M14" s="82"/>
      <c r="N14" s="82"/>
      <c r="O14" s="82"/>
      <c r="P14" s="82"/>
      <c r="Q14" s="82"/>
      <c r="R14" s="82"/>
      <c r="S14" s="82"/>
      <c r="T14" s="82"/>
      <c r="U14" s="82"/>
      <c r="V14" s="82"/>
      <c r="W14" s="82"/>
      <c r="X14" s="82"/>
      <c r="Y14" s="82"/>
      <c r="Z14" s="82"/>
    </row>
    <row r="15" spans="1:26">
      <c r="A15" s="22" t="s">
        <v>232</v>
      </c>
      <c r="C15" s="61"/>
      <c r="D15" s="82"/>
      <c r="E15" s="82"/>
      <c r="F15" s="82"/>
      <c r="G15" s="82"/>
      <c r="H15" s="82"/>
      <c r="I15" s="82"/>
      <c r="J15" s="82"/>
      <c r="K15" s="82"/>
      <c r="L15" s="82"/>
      <c r="M15" s="82"/>
      <c r="N15" s="82"/>
      <c r="O15" s="82"/>
      <c r="P15" s="82"/>
      <c r="Q15" s="82"/>
      <c r="R15" s="82"/>
      <c r="S15" s="82"/>
      <c r="T15" s="82"/>
      <c r="U15" s="82"/>
      <c r="V15" s="82"/>
      <c r="W15" s="82"/>
      <c r="X15" s="82"/>
      <c r="Y15" s="82"/>
      <c r="Z15" s="82"/>
    </row>
    <row r="16" spans="1:26">
      <c r="B16" s="24" t="s">
        <v>93</v>
      </c>
      <c r="C16" s="60" t="s">
        <v>52</v>
      </c>
      <c r="D16" s="82">
        <v>607.01099999999997</v>
      </c>
      <c r="E16" s="82">
        <v>681.827</v>
      </c>
      <c r="F16" s="82">
        <v>724.84127999999998</v>
      </c>
      <c r="G16" s="82">
        <v>755.35382000000004</v>
      </c>
      <c r="H16" s="82">
        <v>754.22239999999999</v>
      </c>
      <c r="I16" s="82">
        <v>673.44463499999995</v>
      </c>
      <c r="J16" s="82">
        <v>678.96290699999997</v>
      </c>
      <c r="K16" s="82">
        <v>639.375721</v>
      </c>
      <c r="L16" s="82">
        <v>612.05465000000004</v>
      </c>
      <c r="M16" s="82">
        <v>641.09927500000003</v>
      </c>
      <c r="N16" s="82">
        <v>526.49149299999999</v>
      </c>
      <c r="O16" s="82">
        <v>418.06451700000002</v>
      </c>
      <c r="P16" s="82">
        <v>355.61895500000003</v>
      </c>
      <c r="Q16" s="82">
        <v>345.08087499999999</v>
      </c>
      <c r="R16" s="82">
        <v>338.50097899999997</v>
      </c>
      <c r="S16" s="82">
        <v>199.37241</v>
      </c>
      <c r="T16" s="82">
        <v>174.11333999999999</v>
      </c>
      <c r="U16" s="82">
        <v>186.88534899999999</v>
      </c>
      <c r="V16" s="82">
        <v>192.15790000000001</v>
      </c>
      <c r="W16" s="82">
        <v>139.09569999999999</v>
      </c>
      <c r="X16" s="82">
        <v>113.83047999999999</v>
      </c>
      <c r="Y16" s="82">
        <v>106.45156</v>
      </c>
      <c r="Z16" s="82">
        <v>52.527569999999997</v>
      </c>
    </row>
    <row r="17" spans="1:26">
      <c r="B17" s="24" t="s">
        <v>94</v>
      </c>
      <c r="C17" s="60" t="s">
        <v>52</v>
      </c>
      <c r="D17" s="82">
        <v>1160.5706904202</v>
      </c>
      <c r="E17" s="82">
        <v>1336.78073799003</v>
      </c>
      <c r="F17" s="82">
        <v>1564.07430781682</v>
      </c>
      <c r="G17" s="82">
        <v>1708.1956843401399</v>
      </c>
      <c r="H17" s="82">
        <v>1739.0551410979001</v>
      </c>
      <c r="I17" s="82">
        <v>1820.6947774409</v>
      </c>
      <c r="J17" s="82">
        <v>1824.70748755316</v>
      </c>
      <c r="K17" s="82">
        <v>1752.73301877107</v>
      </c>
      <c r="L17" s="82">
        <v>1358.0432520874699</v>
      </c>
      <c r="M17" s="82">
        <v>1500.01604000375</v>
      </c>
      <c r="N17" s="82">
        <v>1398.93443740983</v>
      </c>
      <c r="O17" s="82">
        <v>1397.2200375386799</v>
      </c>
      <c r="P17" s="82">
        <v>1412.4813784181299</v>
      </c>
      <c r="Q17" s="82">
        <v>1368.7151199857401</v>
      </c>
      <c r="R17" s="82">
        <v>1333.63445755923</v>
      </c>
      <c r="S17" s="82">
        <v>1247.2275690993899</v>
      </c>
      <c r="T17" s="82">
        <v>1199.65016913975</v>
      </c>
      <c r="U17" s="82">
        <v>1136.1039895398301</v>
      </c>
      <c r="V17" s="82">
        <v>932.08865510861597</v>
      </c>
      <c r="W17" s="82">
        <v>753.64216684979601</v>
      </c>
      <c r="X17" s="82">
        <v>853.98285929999304</v>
      </c>
      <c r="Y17" s="82">
        <v>678.61550427978102</v>
      </c>
      <c r="Z17" s="82">
        <v>660.15410698950302</v>
      </c>
    </row>
    <row r="18" spans="1:26">
      <c r="B18" s="24" t="s">
        <v>95</v>
      </c>
      <c r="C18" s="60" t="s">
        <v>52</v>
      </c>
      <c r="D18" s="82">
        <v>210.26957629593599</v>
      </c>
      <c r="E18" s="82">
        <v>205.24775143069499</v>
      </c>
      <c r="F18" s="82">
        <v>248.221590044104</v>
      </c>
      <c r="G18" s="82">
        <v>237.67255993854701</v>
      </c>
      <c r="H18" s="82">
        <v>259.07654437153298</v>
      </c>
      <c r="I18" s="82">
        <v>259.04516250281</v>
      </c>
      <c r="J18" s="82">
        <v>225.38488525992199</v>
      </c>
      <c r="K18" s="82">
        <v>234.61980723988901</v>
      </c>
      <c r="L18" s="82">
        <v>264.10385895903602</v>
      </c>
      <c r="M18" s="82">
        <v>257.78080389254501</v>
      </c>
      <c r="N18" s="82">
        <v>257.44455116267801</v>
      </c>
      <c r="O18" s="82">
        <v>334.83714962865099</v>
      </c>
      <c r="P18" s="82">
        <v>307.53605357308902</v>
      </c>
      <c r="Q18" s="82">
        <v>320.18119876691799</v>
      </c>
      <c r="R18" s="82">
        <v>352.77744719761</v>
      </c>
      <c r="S18" s="82">
        <v>380.18225354179202</v>
      </c>
      <c r="T18" s="82">
        <v>388.26555310445298</v>
      </c>
      <c r="U18" s="82">
        <v>381.73912912328899</v>
      </c>
      <c r="V18" s="82">
        <v>427.03279671462502</v>
      </c>
      <c r="W18" s="82">
        <v>356.558754674515</v>
      </c>
      <c r="X18" s="82">
        <v>390.83840155812698</v>
      </c>
      <c r="Y18" s="82">
        <v>437.48552078717398</v>
      </c>
      <c r="Z18" s="82">
        <v>228.697075706047</v>
      </c>
    </row>
    <row r="19" spans="1:26">
      <c r="B19" s="24" t="s">
        <v>96</v>
      </c>
      <c r="C19" s="60" t="s">
        <v>52</v>
      </c>
      <c r="D19" s="82">
        <v>1507.2712819103499</v>
      </c>
      <c r="E19" s="82">
        <v>1560.30192126666</v>
      </c>
      <c r="F19" s="82">
        <v>1569.4076552567601</v>
      </c>
      <c r="G19" s="82">
        <v>1648.0080729762201</v>
      </c>
      <c r="H19" s="82">
        <v>1766.2213047979601</v>
      </c>
      <c r="I19" s="82">
        <v>1518.7372427631301</v>
      </c>
      <c r="J19" s="82">
        <v>1606.8992144102899</v>
      </c>
      <c r="K19" s="82">
        <v>1545.64209321827</v>
      </c>
      <c r="L19" s="82">
        <v>1627.2433138727199</v>
      </c>
      <c r="M19" s="82">
        <v>1612.4614157809999</v>
      </c>
      <c r="N19" s="82">
        <v>1620.7578726296399</v>
      </c>
      <c r="O19" s="82">
        <v>1530.80631625202</v>
      </c>
      <c r="P19" s="82">
        <v>1486.5665442167201</v>
      </c>
      <c r="Q19" s="82">
        <v>1584.7690353104499</v>
      </c>
      <c r="R19" s="82">
        <v>1656.3881652479499</v>
      </c>
      <c r="S19" s="82">
        <v>1672.34648523378</v>
      </c>
      <c r="T19" s="82">
        <v>1756.7975173157699</v>
      </c>
      <c r="U19" s="82">
        <v>1774.92141044292</v>
      </c>
      <c r="V19" s="82">
        <v>1728.2061165072801</v>
      </c>
      <c r="W19" s="82">
        <v>1829.0337776998099</v>
      </c>
      <c r="X19" s="82">
        <v>1851.1947223330999</v>
      </c>
      <c r="Y19" s="82">
        <v>1887.9474798251999</v>
      </c>
      <c r="Z19" s="82">
        <v>1899.9343983080601</v>
      </c>
    </row>
    <row r="20" spans="1:26">
      <c r="A20" s="25"/>
      <c r="B20" s="26" t="s">
        <v>43</v>
      </c>
      <c r="C20" s="62" t="s">
        <v>52</v>
      </c>
      <c r="D20" s="82">
        <v>3486.1225486264798</v>
      </c>
      <c r="E20" s="82">
        <v>3783.15741068738</v>
      </c>
      <c r="F20" s="82">
        <v>4107.5448331176904</v>
      </c>
      <c r="G20" s="82">
        <v>4349.23013725491</v>
      </c>
      <c r="H20" s="82">
        <v>4518.5753902673796</v>
      </c>
      <c r="I20" s="82">
        <v>4271.9218177068296</v>
      </c>
      <c r="J20" s="82">
        <v>4335.9544942233797</v>
      </c>
      <c r="K20" s="82">
        <v>4172.3706402292401</v>
      </c>
      <c r="L20" s="82">
        <v>3861.4450749192301</v>
      </c>
      <c r="M20" s="82">
        <v>4011.35753467731</v>
      </c>
      <c r="N20" s="82">
        <v>3803.6283542021401</v>
      </c>
      <c r="O20" s="82">
        <v>3680.9280204193401</v>
      </c>
      <c r="P20" s="82">
        <v>3562.2029312079399</v>
      </c>
      <c r="Q20" s="82">
        <v>3618.7462290631001</v>
      </c>
      <c r="R20" s="82">
        <v>3681.30104900478</v>
      </c>
      <c r="S20" s="82">
        <v>3499.1287178749499</v>
      </c>
      <c r="T20" s="82">
        <v>3518.82657955998</v>
      </c>
      <c r="U20" s="82">
        <v>3479.64987810605</v>
      </c>
      <c r="V20" s="82">
        <v>3279.4854683305198</v>
      </c>
      <c r="W20" s="82">
        <v>3078.3303992241099</v>
      </c>
      <c r="X20" s="91">
        <v>3209.8464631912202</v>
      </c>
      <c r="Y20" s="91">
        <v>3110.50006489215</v>
      </c>
      <c r="Z20" s="91">
        <v>2841.3131510036001</v>
      </c>
    </row>
    <row r="21" spans="1:26" ht="71.25" customHeight="1">
      <c r="C21" s="167" t="s">
        <v>406</v>
      </c>
      <c r="D21" s="167"/>
      <c r="E21" s="167"/>
      <c r="F21" s="167"/>
      <c r="G21" s="167"/>
      <c r="H21" s="167"/>
      <c r="I21" s="167"/>
      <c r="J21" s="167"/>
      <c r="K21" s="167"/>
      <c r="L21" s="167"/>
      <c r="M21" s="167"/>
      <c r="N21" s="167"/>
      <c r="O21" s="167"/>
      <c r="P21" s="167"/>
      <c r="Q21" s="167"/>
      <c r="R21" s="167"/>
      <c r="S21" s="167"/>
      <c r="T21" s="167"/>
      <c r="U21" s="167"/>
      <c r="V21" s="167"/>
      <c r="W21" s="167"/>
      <c r="X21" s="167"/>
      <c r="Y21" s="167"/>
      <c r="Z21" s="167"/>
    </row>
    <row r="22" spans="1:26">
      <c r="A22" t="s">
        <v>2</v>
      </c>
    </row>
    <row r="23" spans="1:26">
      <c r="A23" t="s">
        <v>2</v>
      </c>
    </row>
    <row r="24" spans="1:26">
      <c r="A24" t="s">
        <v>2</v>
      </c>
    </row>
    <row r="25" spans="1:26">
      <c r="A25" t="s">
        <v>2</v>
      </c>
    </row>
    <row r="26" spans="1:26">
      <c r="A26" t="s">
        <v>2</v>
      </c>
    </row>
    <row r="27" spans="1:26">
      <c r="A27" t="s">
        <v>2</v>
      </c>
    </row>
    <row r="28" spans="1:26">
      <c r="A28" t="s">
        <v>2</v>
      </c>
    </row>
    <row r="29" spans="1:26">
      <c r="A29" t="s">
        <v>2</v>
      </c>
    </row>
    <row r="30" spans="1:26">
      <c r="A30" t="s">
        <v>2</v>
      </c>
    </row>
  </sheetData>
  <mergeCells count="2">
    <mergeCell ref="A2:X2"/>
    <mergeCell ref="C21:Z21"/>
  </mergeCells>
  <phoneticPr fontId="14" type="noConversion"/>
  <conditionalFormatting sqref="D5:Z20">
    <cfRule type="cellIs" dxfId="17" priority="1"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78697-DBBF-4A37-B1F3-25EF5B029272}">
  <dimension ref="A1:Y45"/>
  <sheetViews>
    <sheetView zoomScale="130" zoomScaleNormal="130" workbookViewId="0">
      <selection activeCell="A13" sqref="A13:N13"/>
    </sheetView>
  </sheetViews>
  <sheetFormatPr defaultColWidth="9.26953125" defaultRowHeight="14.5"/>
  <cols>
    <col min="1" max="1" width="3" customWidth="1"/>
    <col min="2" max="2" width="16.7265625" bestFit="1" customWidth="1"/>
    <col min="3" max="3" width="4.7265625" bestFit="1" customWidth="1"/>
    <col min="4" max="15" width="7" bestFit="1" customWidth="1"/>
    <col min="16" max="25" width="6.81640625" customWidth="1"/>
    <col min="26" max="26" width="9" customWidth="1"/>
  </cols>
  <sheetData>
    <row r="1" spans="1:25" ht="71.25" customHeight="1">
      <c r="A1" t="s">
        <v>2</v>
      </c>
    </row>
    <row r="2" spans="1:25" ht="21">
      <c r="A2" s="162" t="s">
        <v>228</v>
      </c>
      <c r="B2" s="162"/>
      <c r="C2" s="162"/>
      <c r="D2" s="162"/>
      <c r="E2" s="162"/>
      <c r="F2" s="162"/>
      <c r="G2" s="162"/>
      <c r="H2" s="162"/>
      <c r="I2" s="162"/>
      <c r="J2" s="162"/>
      <c r="K2" s="162"/>
      <c r="L2" s="162"/>
      <c r="M2" s="162"/>
      <c r="N2" s="162"/>
      <c r="O2" s="162"/>
      <c r="P2" s="162"/>
      <c r="Q2" s="162"/>
      <c r="R2" s="162"/>
      <c r="S2" s="162"/>
      <c r="T2" s="162"/>
      <c r="U2" s="162"/>
      <c r="V2" s="162"/>
      <c r="W2" s="162"/>
      <c r="X2" s="162"/>
    </row>
    <row r="3" spans="1:25" s="21" customFormat="1" ht="12">
      <c r="A3" s="64" t="s">
        <v>38</v>
      </c>
      <c r="B3" s="64" t="s">
        <v>38</v>
      </c>
      <c r="C3" s="66" t="s">
        <v>37</v>
      </c>
      <c r="D3" s="64" t="s">
        <v>297</v>
      </c>
      <c r="E3" s="64" t="s">
        <v>298</v>
      </c>
      <c r="F3" s="64" t="s">
        <v>299</v>
      </c>
      <c r="G3" s="64" t="s">
        <v>300</v>
      </c>
      <c r="H3" s="64" t="s">
        <v>281</v>
      </c>
      <c r="I3" s="64" t="s">
        <v>282</v>
      </c>
      <c r="J3" s="64" t="s">
        <v>283</v>
      </c>
      <c r="K3" s="64" t="s">
        <v>284</v>
      </c>
      <c r="L3" s="64" t="s">
        <v>285</v>
      </c>
      <c r="M3" s="64" t="s">
        <v>286</v>
      </c>
      <c r="N3" s="64" t="s">
        <v>287</v>
      </c>
      <c r="O3" s="64" t="s">
        <v>288</v>
      </c>
      <c r="P3" s="64" t="s">
        <v>289</v>
      </c>
      <c r="Q3" s="64" t="s">
        <v>290</v>
      </c>
      <c r="R3" s="64" t="s">
        <v>291</v>
      </c>
      <c r="S3" s="64" t="s">
        <v>292</v>
      </c>
      <c r="T3" s="64" t="s">
        <v>293</v>
      </c>
      <c r="U3" s="64" t="s">
        <v>294</v>
      </c>
      <c r="V3" s="64" t="s">
        <v>295</v>
      </c>
      <c r="W3" s="64" t="s">
        <v>305</v>
      </c>
      <c r="X3" s="64" t="s">
        <v>313</v>
      </c>
      <c r="Y3" s="64" t="s">
        <v>328</v>
      </c>
    </row>
    <row r="4" spans="1:25">
      <c r="A4" s="22" t="s">
        <v>227</v>
      </c>
      <c r="C4" s="61"/>
    </row>
    <row r="5" spans="1:25">
      <c r="B5" s="24" t="s">
        <v>62</v>
      </c>
      <c r="C5" s="60" t="s">
        <v>54</v>
      </c>
      <c r="D5" s="81">
        <v>24.696000000000002</v>
      </c>
      <c r="E5" s="81">
        <v>22.933</v>
      </c>
      <c r="F5" s="81">
        <v>19.981999999999999</v>
      </c>
      <c r="G5" s="81">
        <v>16.16</v>
      </c>
      <c r="H5" s="81">
        <v>16.055</v>
      </c>
      <c r="I5" s="81">
        <v>15.927</v>
      </c>
      <c r="J5" s="81">
        <v>13.491</v>
      </c>
      <c r="K5" s="81">
        <v>17.646000000000001</v>
      </c>
      <c r="L5" s="81">
        <v>16.04</v>
      </c>
      <c r="M5" s="81">
        <v>15.593999999999999</v>
      </c>
      <c r="N5" s="81">
        <v>18.951000000000001</v>
      </c>
      <c r="O5" s="81">
        <v>22.155000000000001</v>
      </c>
      <c r="P5" s="81">
        <v>25.309000000000001</v>
      </c>
      <c r="Q5" s="81">
        <v>27.492999999999999</v>
      </c>
      <c r="R5" s="81">
        <v>29.437000000000001</v>
      </c>
      <c r="S5" s="81">
        <v>30.802</v>
      </c>
      <c r="T5" s="81">
        <v>29.178999999999998</v>
      </c>
      <c r="U5" s="81">
        <v>22.922999999999998</v>
      </c>
      <c r="V5" s="81">
        <v>29.946000000000002</v>
      </c>
      <c r="W5" s="81">
        <v>29.356999999999999</v>
      </c>
      <c r="X5" s="81">
        <v>25.99</v>
      </c>
      <c r="Y5" s="81">
        <v>21.094999999999999</v>
      </c>
    </row>
    <row r="6" spans="1:25">
      <c r="B6" s="24" t="s">
        <v>63</v>
      </c>
      <c r="C6" s="60" t="s">
        <v>54</v>
      </c>
      <c r="D6" s="81">
        <v>32.630000000000003</v>
      </c>
      <c r="E6" s="81">
        <v>34.658000000000001</v>
      </c>
      <c r="F6" s="81">
        <v>30.364999999999998</v>
      </c>
      <c r="G6" s="81">
        <v>29.614999999999998</v>
      </c>
      <c r="H6" s="81">
        <v>29.553000000000001</v>
      </c>
      <c r="I6" s="81">
        <v>30.85</v>
      </c>
      <c r="J6" s="81">
        <v>30.576000000000001</v>
      </c>
      <c r="K6" s="81">
        <v>37.976999999999997</v>
      </c>
      <c r="L6" s="81">
        <v>34.889000000000003</v>
      </c>
      <c r="M6" s="81">
        <v>30.134</v>
      </c>
      <c r="N6" s="81">
        <v>28.009</v>
      </c>
      <c r="O6" s="81">
        <v>29.462</v>
      </c>
      <c r="P6" s="81">
        <v>32.356999999999999</v>
      </c>
      <c r="Q6" s="81">
        <v>35.573999999999998</v>
      </c>
      <c r="R6" s="81">
        <v>35.76</v>
      </c>
      <c r="S6" s="81">
        <v>38.573</v>
      </c>
      <c r="T6" s="81">
        <v>36.503999999999998</v>
      </c>
      <c r="U6" s="81">
        <v>36.067999999999998</v>
      </c>
      <c r="V6" s="81">
        <v>46.07</v>
      </c>
      <c r="W6" s="81">
        <v>41.296999999999997</v>
      </c>
      <c r="X6" s="81">
        <v>35.573999999999998</v>
      </c>
      <c r="Y6" s="81">
        <v>32.835000000000001</v>
      </c>
    </row>
    <row r="7" spans="1:25">
      <c r="B7" s="24" t="s">
        <v>64</v>
      </c>
      <c r="C7" s="60" t="s">
        <v>54</v>
      </c>
      <c r="D7" s="81">
        <v>26.870999999999999</v>
      </c>
      <c r="E7" s="81">
        <v>30.081</v>
      </c>
      <c r="F7" s="81">
        <v>25.265999999999998</v>
      </c>
      <c r="G7" s="81">
        <v>24.870999999999999</v>
      </c>
      <c r="H7" s="81">
        <v>28.140999999999998</v>
      </c>
      <c r="I7" s="81">
        <v>30.382000000000001</v>
      </c>
      <c r="J7" s="81">
        <v>20.434999999999999</v>
      </c>
      <c r="K7" s="81">
        <v>24.600999999999999</v>
      </c>
      <c r="L7" s="81">
        <v>19.439</v>
      </c>
      <c r="M7" s="81">
        <v>18.164000000000001</v>
      </c>
      <c r="N7" s="81">
        <v>18.898</v>
      </c>
      <c r="O7" s="81">
        <v>20.457000000000001</v>
      </c>
      <c r="P7" s="81">
        <v>23.332000000000001</v>
      </c>
      <c r="Q7" s="81">
        <v>23.567</v>
      </c>
      <c r="R7" s="81">
        <v>24.542000000000002</v>
      </c>
      <c r="S7" s="81">
        <v>26.265999999999998</v>
      </c>
      <c r="T7" s="81">
        <v>22.635000000000002</v>
      </c>
      <c r="U7" s="81">
        <v>20.571999999999999</v>
      </c>
      <c r="V7" s="81">
        <v>27.356000000000002</v>
      </c>
      <c r="W7" s="81">
        <v>26.768999999999998</v>
      </c>
      <c r="X7" s="81">
        <v>21.933</v>
      </c>
      <c r="Y7" s="81">
        <v>20.399000000000001</v>
      </c>
    </row>
    <row r="8" spans="1:25">
      <c r="B8" s="24" t="s">
        <v>65</v>
      </c>
      <c r="C8" s="60" t="s">
        <v>54</v>
      </c>
      <c r="D8" s="81">
        <v>8.4309999999999992</v>
      </c>
      <c r="E8" s="81">
        <v>8.3510000000000009</v>
      </c>
      <c r="F8" s="81">
        <v>8.6069999999999993</v>
      </c>
      <c r="G8" s="81">
        <v>8.1829999999999998</v>
      </c>
      <c r="H8" s="81">
        <v>8.7520000000000007</v>
      </c>
      <c r="I8" s="81">
        <v>9.5079999999999991</v>
      </c>
      <c r="J8" s="81">
        <v>9.3320000000000007</v>
      </c>
      <c r="K8" s="81">
        <v>9.6809999999999992</v>
      </c>
      <c r="L8" s="81">
        <v>8.2579999999999991</v>
      </c>
      <c r="M8" s="81">
        <v>6.9390000000000001</v>
      </c>
      <c r="N8" s="81">
        <v>6.5289999999999999</v>
      </c>
      <c r="O8" s="81">
        <v>8.3070000000000004</v>
      </c>
      <c r="P8" s="81">
        <v>7.78</v>
      </c>
      <c r="Q8" s="81">
        <v>7.6870000000000003</v>
      </c>
      <c r="R8" s="81">
        <v>7.657</v>
      </c>
      <c r="S8" s="81">
        <v>8.2100000000000009</v>
      </c>
      <c r="T8" s="81">
        <v>7.3360000000000003</v>
      </c>
      <c r="U8" s="81">
        <v>7.6829999999999998</v>
      </c>
      <c r="V8" s="81">
        <v>10.952999999999999</v>
      </c>
      <c r="W8" s="81">
        <v>11.27</v>
      </c>
      <c r="X8" s="81">
        <v>9.3190000000000008</v>
      </c>
      <c r="Y8" s="81">
        <v>8.7170000000000005</v>
      </c>
    </row>
    <row r="9" spans="1:25">
      <c r="B9" s="24" t="s">
        <v>66</v>
      </c>
      <c r="C9" s="60" t="s">
        <v>54</v>
      </c>
      <c r="D9" s="81">
        <v>16.943000000000001</v>
      </c>
      <c r="E9" s="81">
        <v>18.631</v>
      </c>
      <c r="F9" s="81">
        <v>18.248000000000001</v>
      </c>
      <c r="G9" s="81">
        <v>21.754000000000001</v>
      </c>
      <c r="H9" s="81">
        <v>19.934000000000001</v>
      </c>
      <c r="I9" s="81">
        <v>16.988</v>
      </c>
      <c r="J9" s="81">
        <v>14.84</v>
      </c>
      <c r="K9" s="81">
        <v>20.077999999999999</v>
      </c>
      <c r="L9" s="81">
        <v>17.055</v>
      </c>
      <c r="M9" s="81">
        <v>14.728999999999999</v>
      </c>
      <c r="N9" s="81">
        <v>19.024000000000001</v>
      </c>
      <c r="O9" s="81">
        <v>23.097000000000001</v>
      </c>
      <c r="P9" s="81">
        <v>23.609000000000002</v>
      </c>
      <c r="Q9" s="81">
        <v>18.097999999999999</v>
      </c>
      <c r="R9" s="81">
        <v>14.452999999999999</v>
      </c>
      <c r="S9" s="81">
        <v>13.561999999999999</v>
      </c>
      <c r="T9" s="81">
        <v>11.991</v>
      </c>
      <c r="U9" s="81">
        <v>10.587999999999999</v>
      </c>
      <c r="V9" s="81">
        <v>20.091000000000001</v>
      </c>
      <c r="W9" s="81">
        <v>18.248999999999999</v>
      </c>
      <c r="X9" s="81">
        <v>12.925000000000001</v>
      </c>
      <c r="Y9" s="81">
        <v>13.252000000000001</v>
      </c>
    </row>
    <row r="10" spans="1:25">
      <c r="B10" s="24" t="s">
        <v>67</v>
      </c>
      <c r="C10" s="60" t="s">
        <v>54</v>
      </c>
      <c r="D10" s="81">
        <v>1.87</v>
      </c>
      <c r="E10" s="81">
        <v>2.5129999999999999</v>
      </c>
      <c r="F10" s="81">
        <v>2.4359999999999999</v>
      </c>
      <c r="G10" s="81">
        <v>2.258</v>
      </c>
      <c r="H10" s="81">
        <v>2.4740000000000002</v>
      </c>
      <c r="I10" s="81">
        <v>2.4809999999999999</v>
      </c>
      <c r="J10" s="81">
        <v>2.444</v>
      </c>
      <c r="K10" s="81">
        <v>2.57</v>
      </c>
      <c r="L10" s="81">
        <v>2.198</v>
      </c>
      <c r="M10" s="81">
        <v>1.74</v>
      </c>
      <c r="N10" s="81">
        <v>1.528</v>
      </c>
      <c r="O10" s="81">
        <v>1.643</v>
      </c>
      <c r="P10" s="81">
        <v>2.3330000000000002</v>
      </c>
      <c r="Q10" s="81">
        <v>2.0430000000000001</v>
      </c>
      <c r="R10" s="81">
        <v>1.758</v>
      </c>
      <c r="S10" s="81">
        <v>2.3109999999999999</v>
      </c>
      <c r="T10" s="81">
        <v>2.6859999999999999</v>
      </c>
      <c r="U10" s="81">
        <v>2.738</v>
      </c>
      <c r="V10" s="81">
        <v>3.8879999999999999</v>
      </c>
      <c r="W10" s="81">
        <v>3.0569999999999999</v>
      </c>
      <c r="X10" s="81">
        <v>2.7690000000000001</v>
      </c>
      <c r="Y10" s="81">
        <v>2.2080000000000002</v>
      </c>
    </row>
    <row r="11" spans="1:25">
      <c r="B11" s="24" t="s">
        <v>68</v>
      </c>
      <c r="C11" s="60" t="s">
        <v>54</v>
      </c>
      <c r="D11" s="81">
        <v>0.52500000000000002</v>
      </c>
      <c r="E11" s="81">
        <v>0.51500000000000001</v>
      </c>
      <c r="F11" s="81">
        <v>0.63300000000000001</v>
      </c>
      <c r="G11" s="81">
        <v>0.67900000000000005</v>
      </c>
      <c r="H11" s="81">
        <v>0.76</v>
      </c>
      <c r="I11" s="81">
        <v>0.60899999999999999</v>
      </c>
      <c r="J11" s="81">
        <v>0.67800000000000005</v>
      </c>
      <c r="K11" s="81">
        <v>0.83</v>
      </c>
      <c r="L11" s="81">
        <v>0.79800000000000004</v>
      </c>
      <c r="M11" s="81">
        <v>0.84099999999999997</v>
      </c>
      <c r="N11" s="81">
        <v>0.82099999999999995</v>
      </c>
      <c r="O11" s="81">
        <v>0.88</v>
      </c>
      <c r="P11" s="81">
        <v>0.86799999999999999</v>
      </c>
      <c r="Q11" s="81">
        <v>0.88800000000000001</v>
      </c>
      <c r="R11" s="81">
        <v>0.73399999999999999</v>
      </c>
      <c r="S11" s="81">
        <v>0.60899999999999999</v>
      </c>
      <c r="T11" s="81">
        <v>0.503</v>
      </c>
      <c r="U11" s="81">
        <v>0.39700000000000002</v>
      </c>
      <c r="V11" s="81">
        <v>0.72699999999999998</v>
      </c>
      <c r="W11" s="81">
        <v>0.38500000000000001</v>
      </c>
      <c r="X11" s="81">
        <v>0.51700000000000002</v>
      </c>
      <c r="Y11" s="81">
        <v>0.32900000000000001</v>
      </c>
    </row>
    <row r="12" spans="1:25">
      <c r="B12" s="24" t="s">
        <v>69</v>
      </c>
      <c r="C12" s="60" t="s">
        <v>54</v>
      </c>
      <c r="D12" s="81">
        <v>1.7769999999999999</v>
      </c>
      <c r="E12" s="81">
        <v>1.458</v>
      </c>
      <c r="F12" s="81">
        <v>0.95399999999999996</v>
      </c>
      <c r="G12" s="81">
        <v>1.0329999999999999</v>
      </c>
      <c r="H12" s="81">
        <v>1.25</v>
      </c>
      <c r="I12" s="81">
        <v>1.2809999999999999</v>
      </c>
      <c r="J12" s="81">
        <v>1.3260000000000001</v>
      </c>
      <c r="K12" s="81">
        <v>2.2029999999999998</v>
      </c>
      <c r="L12" s="81">
        <v>1.869</v>
      </c>
      <c r="M12" s="81">
        <v>1.696</v>
      </c>
      <c r="N12" s="81">
        <v>1.8720000000000001</v>
      </c>
      <c r="O12" s="81">
        <v>1.6160000000000001</v>
      </c>
      <c r="P12" s="81">
        <v>1.538</v>
      </c>
      <c r="Q12" s="81">
        <v>1.0309999999999999</v>
      </c>
      <c r="R12" s="81">
        <v>1.143</v>
      </c>
      <c r="S12" s="81">
        <v>1.1559999999999999</v>
      </c>
      <c r="T12" s="81">
        <v>1.351</v>
      </c>
      <c r="U12" s="81">
        <v>1.2529999999999999</v>
      </c>
      <c r="V12" s="81">
        <v>1.417</v>
      </c>
      <c r="W12" s="81">
        <v>1.6639999999999999</v>
      </c>
      <c r="X12" s="81">
        <v>1.2370000000000001</v>
      </c>
      <c r="Y12" s="81">
        <v>0.82</v>
      </c>
    </row>
    <row r="13" spans="1:25">
      <c r="B13" s="24" t="s">
        <v>70</v>
      </c>
      <c r="C13" s="60" t="s">
        <v>54</v>
      </c>
      <c r="D13" s="81">
        <v>113.74299999999999</v>
      </c>
      <c r="E13" s="81">
        <v>119.142</v>
      </c>
      <c r="F13" s="81">
        <v>106.49</v>
      </c>
      <c r="G13" s="81">
        <v>104.55</v>
      </c>
      <c r="H13" s="81">
        <v>106.92</v>
      </c>
      <c r="I13" s="81">
        <v>108.027</v>
      </c>
      <c r="J13" s="81">
        <v>93.12</v>
      </c>
      <c r="K13" s="81">
        <v>115.586</v>
      </c>
      <c r="L13" s="81">
        <v>100.54900000000001</v>
      </c>
      <c r="M13" s="81">
        <v>89.837000000000003</v>
      </c>
      <c r="N13" s="81">
        <v>95.632999999999996</v>
      </c>
      <c r="O13" s="81">
        <v>107.61799999999999</v>
      </c>
      <c r="P13" s="81">
        <v>117.124</v>
      </c>
      <c r="Q13" s="81">
        <v>116.381</v>
      </c>
      <c r="R13" s="81">
        <v>115.48399999999999</v>
      </c>
      <c r="S13" s="81">
        <v>121.49</v>
      </c>
      <c r="T13" s="81">
        <v>112.18300000000001</v>
      </c>
      <c r="U13" s="81">
        <v>102.221</v>
      </c>
      <c r="V13" s="81">
        <v>140.44800000000001</v>
      </c>
      <c r="W13" s="81">
        <v>132.04599999999999</v>
      </c>
      <c r="X13" s="81">
        <v>110.264</v>
      </c>
      <c r="Y13" s="81">
        <v>99.656000000000006</v>
      </c>
    </row>
    <row r="14" spans="1:25">
      <c r="A14" t="s">
        <v>2</v>
      </c>
      <c r="C14" s="61"/>
      <c r="D14" s="82"/>
      <c r="E14" s="82"/>
      <c r="F14" s="82"/>
      <c r="G14" s="82"/>
      <c r="H14" s="82"/>
      <c r="I14" s="82"/>
      <c r="J14" s="82"/>
      <c r="K14" s="82"/>
      <c r="L14" s="82"/>
      <c r="M14" s="82"/>
      <c r="N14" s="82"/>
      <c r="O14" s="82"/>
      <c r="P14" s="82"/>
      <c r="Q14" s="82"/>
      <c r="R14" s="82"/>
      <c r="S14" s="82"/>
      <c r="T14" s="82"/>
      <c r="U14" s="82"/>
      <c r="V14" s="82"/>
      <c r="W14" s="82"/>
    </row>
    <row r="15" spans="1:25">
      <c r="A15" s="22" t="s">
        <v>225</v>
      </c>
      <c r="C15" s="61"/>
      <c r="D15" s="82"/>
      <c r="E15" s="82"/>
      <c r="F15" s="82"/>
      <c r="G15" s="82"/>
      <c r="H15" s="82"/>
      <c r="I15" s="82"/>
      <c r="J15" s="82"/>
      <c r="K15" s="82"/>
      <c r="L15" s="82"/>
      <c r="M15" s="82"/>
      <c r="N15" s="82"/>
      <c r="O15" s="82"/>
      <c r="P15" s="82"/>
      <c r="Q15" s="82"/>
      <c r="R15" s="82"/>
      <c r="S15" s="82"/>
      <c r="T15" s="82"/>
      <c r="U15" s="82"/>
      <c r="V15" s="82"/>
      <c r="W15" s="82"/>
      <c r="X15" s="82"/>
      <c r="Y15" s="82"/>
    </row>
    <row r="16" spans="1:25">
      <c r="B16" s="24" t="s">
        <v>62</v>
      </c>
      <c r="C16" s="60" t="s">
        <v>54</v>
      </c>
      <c r="D16" s="81">
        <v>24.416</v>
      </c>
      <c r="E16" s="81">
        <v>22.756</v>
      </c>
      <c r="F16" s="81">
        <v>19.629000000000001</v>
      </c>
      <c r="G16" s="81">
        <v>16.760999999999999</v>
      </c>
      <c r="H16" s="81">
        <v>14.263</v>
      </c>
      <c r="I16" s="81">
        <v>15.862</v>
      </c>
      <c r="J16" s="81">
        <v>10.579000000000001</v>
      </c>
      <c r="K16" s="81">
        <v>15.576000000000001</v>
      </c>
      <c r="L16" s="81">
        <v>16.268999999999998</v>
      </c>
      <c r="M16" s="81">
        <v>15.233000000000001</v>
      </c>
      <c r="N16" s="81">
        <v>23.425999999999998</v>
      </c>
      <c r="O16" s="81">
        <v>25.44</v>
      </c>
      <c r="P16" s="81">
        <v>32.436999999999998</v>
      </c>
      <c r="Q16" s="81">
        <v>42.77</v>
      </c>
      <c r="R16" s="81">
        <v>44.689</v>
      </c>
      <c r="S16" s="81">
        <v>41.421999999999997</v>
      </c>
      <c r="T16" s="81">
        <v>32.642000000000003</v>
      </c>
      <c r="U16" s="81">
        <v>26.904</v>
      </c>
      <c r="V16" s="81">
        <v>29.027999999999999</v>
      </c>
      <c r="W16" s="81">
        <v>26.265999999999998</v>
      </c>
      <c r="X16" s="81">
        <v>23.257000000000001</v>
      </c>
      <c r="Y16" s="81">
        <v>18.978999999999999</v>
      </c>
    </row>
    <row r="17" spans="1:25">
      <c r="B17" s="24" t="s">
        <v>63</v>
      </c>
      <c r="C17" s="60" t="s">
        <v>54</v>
      </c>
      <c r="D17" s="81">
        <v>13.247</v>
      </c>
      <c r="E17" s="81">
        <v>10.685</v>
      </c>
      <c r="F17" s="81">
        <v>10.545</v>
      </c>
      <c r="G17" s="81">
        <v>9.5920000000000005</v>
      </c>
      <c r="H17" s="81">
        <v>9.1300000000000008</v>
      </c>
      <c r="I17" s="81">
        <v>10.974</v>
      </c>
      <c r="J17" s="81">
        <v>11.346</v>
      </c>
      <c r="K17" s="81">
        <v>16.978000000000002</v>
      </c>
      <c r="L17" s="81">
        <v>24.224</v>
      </c>
      <c r="M17" s="81">
        <v>20.434000000000001</v>
      </c>
      <c r="N17" s="81">
        <v>22.785</v>
      </c>
      <c r="O17" s="81">
        <v>22.059000000000001</v>
      </c>
      <c r="P17" s="81">
        <v>32.588999999999999</v>
      </c>
      <c r="Q17" s="81">
        <v>33.017000000000003</v>
      </c>
      <c r="R17" s="81">
        <v>28.53</v>
      </c>
      <c r="S17" s="81">
        <v>36.99</v>
      </c>
      <c r="T17" s="81">
        <v>25.422000000000001</v>
      </c>
      <c r="U17" s="81">
        <v>22.553000000000001</v>
      </c>
      <c r="V17" s="81">
        <v>20.713999999999999</v>
      </c>
      <c r="W17" s="81">
        <v>25.832000000000001</v>
      </c>
      <c r="X17" s="81">
        <v>19.311</v>
      </c>
      <c r="Y17" s="81">
        <v>19.887</v>
      </c>
    </row>
    <row r="18" spans="1:25">
      <c r="B18" s="24" t="s">
        <v>64</v>
      </c>
      <c r="C18" s="60" t="s">
        <v>54</v>
      </c>
      <c r="D18" s="81">
        <v>13.305999999999999</v>
      </c>
      <c r="E18" s="81">
        <v>14.286</v>
      </c>
      <c r="F18" s="81">
        <v>13.874000000000001</v>
      </c>
      <c r="G18" s="81">
        <v>13.199</v>
      </c>
      <c r="H18" s="81">
        <v>13.010999999999999</v>
      </c>
      <c r="I18" s="81">
        <v>14.992000000000001</v>
      </c>
      <c r="J18" s="81">
        <v>9.0250000000000004</v>
      </c>
      <c r="K18" s="81">
        <v>10.677</v>
      </c>
      <c r="L18" s="81">
        <v>9.8569999999999993</v>
      </c>
      <c r="M18" s="81">
        <v>10.3</v>
      </c>
      <c r="N18" s="81">
        <v>11.361000000000001</v>
      </c>
      <c r="O18" s="81">
        <v>16.309999999999999</v>
      </c>
      <c r="P18" s="81">
        <v>22.009</v>
      </c>
      <c r="Q18" s="81">
        <v>26.170999999999999</v>
      </c>
      <c r="R18" s="81">
        <v>20.032</v>
      </c>
      <c r="S18" s="81">
        <v>15.526</v>
      </c>
      <c r="T18" s="81">
        <v>14.048999999999999</v>
      </c>
      <c r="U18" s="81">
        <v>10.272</v>
      </c>
      <c r="V18" s="81">
        <v>12.253</v>
      </c>
      <c r="W18" s="81">
        <v>12.53</v>
      </c>
      <c r="X18" s="81">
        <v>13.378</v>
      </c>
      <c r="Y18" s="81">
        <v>12.372999999999999</v>
      </c>
    </row>
    <row r="19" spans="1:25">
      <c r="B19" s="24" t="s">
        <v>65</v>
      </c>
      <c r="C19" s="60" t="s">
        <v>54</v>
      </c>
      <c r="D19" s="81">
        <v>2.1070000000000002</v>
      </c>
      <c r="E19" s="81">
        <v>2.1280000000000001</v>
      </c>
      <c r="F19" s="81">
        <v>2.3919999999999999</v>
      </c>
      <c r="G19" s="81">
        <v>2.5179999999999998</v>
      </c>
      <c r="H19" s="81">
        <v>2.48</v>
      </c>
      <c r="I19" s="81">
        <v>2.3450000000000002</v>
      </c>
      <c r="J19" s="81">
        <v>2.8090000000000002</v>
      </c>
      <c r="K19" s="81">
        <v>2.633</v>
      </c>
      <c r="L19" s="81">
        <v>2.7090000000000001</v>
      </c>
      <c r="M19" s="81">
        <v>2.2090000000000001</v>
      </c>
      <c r="N19" s="81">
        <v>2.4630000000000001</v>
      </c>
      <c r="O19" s="81">
        <v>2.8460000000000001</v>
      </c>
      <c r="P19" s="81">
        <v>2.8479999999999999</v>
      </c>
      <c r="Q19" s="81">
        <v>3.5920000000000001</v>
      </c>
      <c r="R19" s="81">
        <v>3.177</v>
      </c>
      <c r="S19" s="81">
        <v>4.8529999999999998</v>
      </c>
      <c r="T19" s="81">
        <v>2.7229999999999999</v>
      </c>
      <c r="U19" s="81">
        <v>3.0150000000000001</v>
      </c>
      <c r="V19" s="81">
        <v>2.456</v>
      </c>
      <c r="W19" s="81">
        <v>2.9129999999999998</v>
      </c>
      <c r="X19" s="81">
        <v>1.8140000000000001</v>
      </c>
      <c r="Y19" s="81">
        <v>2.613</v>
      </c>
    </row>
    <row r="20" spans="1:25">
      <c r="B20" s="24" t="s">
        <v>66</v>
      </c>
      <c r="C20" s="60" t="s">
        <v>54</v>
      </c>
      <c r="D20" s="81">
        <v>3.4929999999999999</v>
      </c>
      <c r="E20" s="81">
        <v>3.944</v>
      </c>
      <c r="F20" s="81">
        <v>4.72</v>
      </c>
      <c r="G20" s="81">
        <v>4.2510000000000003</v>
      </c>
      <c r="H20" s="81">
        <v>4.9790000000000001</v>
      </c>
      <c r="I20" s="81">
        <v>5.5369999999999999</v>
      </c>
      <c r="J20" s="81">
        <v>3.73</v>
      </c>
      <c r="K20" s="81">
        <v>5.4240000000000004</v>
      </c>
      <c r="L20" s="81">
        <v>3.9260000000000002</v>
      </c>
      <c r="M20" s="81">
        <v>3.1320000000000001</v>
      </c>
      <c r="N20" s="81">
        <v>5.83</v>
      </c>
      <c r="O20" s="81">
        <v>6.5410000000000004</v>
      </c>
      <c r="P20" s="81">
        <v>8.1229999999999993</v>
      </c>
      <c r="Q20" s="81">
        <v>7.415</v>
      </c>
      <c r="R20" s="81">
        <v>5.1840000000000002</v>
      </c>
      <c r="S20" s="81">
        <v>4.8319999999999999</v>
      </c>
      <c r="T20" s="81">
        <v>3.48</v>
      </c>
      <c r="U20" s="81">
        <v>2.9590000000000001</v>
      </c>
      <c r="V20" s="81">
        <v>3.206</v>
      </c>
      <c r="W20" s="81">
        <v>3.069</v>
      </c>
      <c r="X20" s="81">
        <v>1.9259999999999999</v>
      </c>
      <c r="Y20" s="81">
        <v>1.6479999999999999</v>
      </c>
    </row>
    <row r="21" spans="1:25">
      <c r="B21" s="24" t="s">
        <v>67</v>
      </c>
      <c r="C21" s="60" t="s">
        <v>54</v>
      </c>
      <c r="D21" s="81">
        <v>0.20899999999999999</v>
      </c>
      <c r="E21" s="81">
        <v>0.33800000000000002</v>
      </c>
      <c r="F21" s="81">
        <v>0.39200000000000002</v>
      </c>
      <c r="G21" s="81">
        <v>0.311</v>
      </c>
      <c r="H21" s="81">
        <v>0.42399999999999999</v>
      </c>
      <c r="I21" s="81">
        <v>0.44400000000000001</v>
      </c>
      <c r="J21" s="81">
        <v>0.505</v>
      </c>
      <c r="K21" s="81">
        <v>0.65100000000000002</v>
      </c>
      <c r="L21" s="81">
        <v>0.86599999999999999</v>
      </c>
      <c r="M21" s="81">
        <v>0.52800000000000002</v>
      </c>
      <c r="N21" s="81">
        <v>0.38900000000000001</v>
      </c>
      <c r="O21" s="81">
        <v>0.31900000000000001</v>
      </c>
      <c r="P21" s="81">
        <v>0.50900000000000001</v>
      </c>
      <c r="Q21" s="81">
        <v>0.4</v>
      </c>
      <c r="R21" s="81">
        <v>0.41899999999999998</v>
      </c>
      <c r="S21" s="81">
        <v>0.51600000000000001</v>
      </c>
      <c r="T21" s="81">
        <v>0.29199999999999998</v>
      </c>
      <c r="U21" s="81">
        <v>0.28899999999999998</v>
      </c>
      <c r="V21" s="81">
        <v>0.13300000000000001</v>
      </c>
      <c r="W21" s="81">
        <v>0.436</v>
      </c>
      <c r="X21" s="81">
        <v>0.245</v>
      </c>
      <c r="Y21" s="81">
        <v>7.4999999999999997E-2</v>
      </c>
    </row>
    <row r="22" spans="1:25">
      <c r="B22" s="24" t="s">
        <v>68</v>
      </c>
      <c r="C22" s="60" t="s">
        <v>54</v>
      </c>
      <c r="D22" s="81">
        <v>0.46100000000000002</v>
      </c>
      <c r="E22" s="81">
        <v>0.53</v>
      </c>
      <c r="F22" s="81">
        <v>0.71599999999999997</v>
      </c>
      <c r="G22" s="81">
        <v>0.68899999999999995</v>
      </c>
      <c r="H22" s="81">
        <v>0.57299999999999995</v>
      </c>
      <c r="I22" s="81">
        <v>0.46899999999999997</v>
      </c>
      <c r="J22" s="81">
        <v>0.32</v>
      </c>
      <c r="K22" s="81">
        <v>0.52800000000000002</v>
      </c>
      <c r="L22" s="81">
        <v>0.86499999999999999</v>
      </c>
      <c r="M22" s="81">
        <v>0.77900000000000003</v>
      </c>
      <c r="N22" s="81">
        <v>1.512</v>
      </c>
      <c r="O22" s="81">
        <v>1.1599999999999999</v>
      </c>
      <c r="P22" s="81">
        <v>1.135</v>
      </c>
      <c r="Q22" s="81">
        <v>0.65100000000000002</v>
      </c>
      <c r="R22" s="81">
        <v>0.26</v>
      </c>
      <c r="S22" s="81">
        <v>0.36499999999999999</v>
      </c>
      <c r="T22" s="81">
        <v>0.13200000000000001</v>
      </c>
      <c r="U22" s="81">
        <v>0.111</v>
      </c>
      <c r="V22" s="81">
        <v>0.158</v>
      </c>
      <c r="W22" s="81" t="s">
        <v>211</v>
      </c>
      <c r="X22" s="81">
        <v>8.3000000000000004E-2</v>
      </c>
      <c r="Y22" s="81">
        <v>7.0999999999999994E-2</v>
      </c>
    </row>
    <row r="23" spans="1:25">
      <c r="B23" s="24" t="s">
        <v>69</v>
      </c>
      <c r="C23" s="60" t="s">
        <v>54</v>
      </c>
      <c r="D23" s="81">
        <v>1.3620000000000001</v>
      </c>
      <c r="E23" s="81">
        <v>1.4379999999999999</v>
      </c>
      <c r="F23" s="81">
        <v>1.504</v>
      </c>
      <c r="G23" s="81">
        <v>0.80200000000000005</v>
      </c>
      <c r="H23" s="81">
        <v>0.99399999999999999</v>
      </c>
      <c r="I23" s="81">
        <v>0.96699999999999997</v>
      </c>
      <c r="J23" s="81">
        <v>1.3140000000000001</v>
      </c>
      <c r="K23" s="81">
        <v>2.222</v>
      </c>
      <c r="L23" s="81">
        <v>3.2370000000000001</v>
      </c>
      <c r="M23" s="81">
        <v>2.899</v>
      </c>
      <c r="N23" s="81">
        <v>2.6269999999999998</v>
      </c>
      <c r="O23" s="81">
        <v>2.6190000000000002</v>
      </c>
      <c r="P23" s="81">
        <v>2.5139999999999998</v>
      </c>
      <c r="Q23" s="81">
        <v>4.0419999999999998</v>
      </c>
      <c r="R23" s="81">
        <v>3.66</v>
      </c>
      <c r="S23" s="81">
        <v>3.9060000000000001</v>
      </c>
      <c r="T23" s="81">
        <v>4.7030000000000003</v>
      </c>
      <c r="U23" s="81">
        <v>3.8679999999999999</v>
      </c>
      <c r="V23" s="81">
        <v>3.7789999999999999</v>
      </c>
      <c r="W23" s="81">
        <v>4.1769999999999996</v>
      </c>
      <c r="X23" s="81">
        <v>2.552</v>
      </c>
      <c r="Y23" s="81">
        <v>3.633</v>
      </c>
    </row>
    <row r="24" spans="1:25">
      <c r="B24" s="24" t="s">
        <v>70</v>
      </c>
      <c r="C24" s="60" t="s">
        <v>54</v>
      </c>
      <c r="D24" s="81">
        <v>58.603000000000002</v>
      </c>
      <c r="E24" s="81">
        <v>56.104999999999997</v>
      </c>
      <c r="F24" s="81">
        <v>53.771000000000001</v>
      </c>
      <c r="G24" s="81">
        <v>48.124000000000002</v>
      </c>
      <c r="H24" s="81">
        <v>45.850999999999999</v>
      </c>
      <c r="I24" s="81">
        <v>51.59</v>
      </c>
      <c r="J24" s="81">
        <v>39.631</v>
      </c>
      <c r="K24" s="81">
        <v>54.685000000000002</v>
      </c>
      <c r="L24" s="81">
        <v>61.95</v>
      </c>
      <c r="M24" s="81">
        <v>55.512999999999998</v>
      </c>
      <c r="N24" s="81">
        <v>70.394000000000005</v>
      </c>
      <c r="O24" s="81">
        <v>77.293000000000006</v>
      </c>
      <c r="P24" s="81">
        <v>102.16500000000001</v>
      </c>
      <c r="Q24" s="82">
        <v>118.059</v>
      </c>
      <c r="R24" s="82">
        <v>105.955</v>
      </c>
      <c r="S24" s="82">
        <v>108.407</v>
      </c>
      <c r="T24" s="82">
        <v>83.442999999999998</v>
      </c>
      <c r="U24" s="81">
        <v>69.968000000000004</v>
      </c>
      <c r="V24" s="81">
        <v>71.727000000000004</v>
      </c>
      <c r="W24" s="81">
        <v>75.295000000000002</v>
      </c>
      <c r="X24" s="81">
        <v>62.564999999999998</v>
      </c>
      <c r="Y24" s="81">
        <v>59.281999999999996</v>
      </c>
    </row>
    <row r="25" spans="1:25">
      <c r="A25" t="s">
        <v>2</v>
      </c>
      <c r="C25" s="61"/>
      <c r="D25" s="82"/>
      <c r="E25" s="82"/>
      <c r="F25" s="82"/>
      <c r="G25" s="82"/>
      <c r="H25" s="82"/>
      <c r="I25" s="82"/>
      <c r="J25" s="82"/>
      <c r="K25" s="82"/>
      <c r="L25" s="82"/>
      <c r="M25" s="82"/>
      <c r="N25" s="82"/>
      <c r="O25" s="82"/>
      <c r="P25" s="82"/>
      <c r="Q25" s="82"/>
      <c r="R25" s="82"/>
      <c r="S25" s="82"/>
      <c r="T25" s="82"/>
      <c r="U25" s="82"/>
      <c r="V25" s="82"/>
      <c r="W25" s="82"/>
    </row>
    <row r="26" spans="1:25">
      <c r="A26" s="22" t="s">
        <v>226</v>
      </c>
      <c r="C26" s="61"/>
      <c r="D26" s="82"/>
      <c r="E26" s="82"/>
      <c r="F26" s="82"/>
      <c r="G26" s="82"/>
      <c r="H26" s="82"/>
      <c r="I26" s="82"/>
      <c r="J26" s="82"/>
      <c r="K26" s="82"/>
      <c r="L26" s="82"/>
      <c r="M26" s="82"/>
      <c r="N26" s="82"/>
      <c r="O26" s="82"/>
      <c r="P26" s="82"/>
      <c r="Q26" s="82"/>
      <c r="R26" s="82"/>
      <c r="S26" s="82"/>
      <c r="T26" s="82"/>
      <c r="U26" s="82"/>
      <c r="V26" s="82"/>
      <c r="W26" s="82"/>
      <c r="X26" s="82"/>
      <c r="Y26" s="82"/>
    </row>
    <row r="27" spans="1:25">
      <c r="B27" s="24" t="s">
        <v>62</v>
      </c>
      <c r="C27" s="60" t="s">
        <v>54</v>
      </c>
      <c r="D27" s="81">
        <v>49.112000000000002</v>
      </c>
      <c r="E27" s="81">
        <v>45.689</v>
      </c>
      <c r="F27" s="81">
        <v>39.610999999999997</v>
      </c>
      <c r="G27" s="81">
        <v>32.920999999999999</v>
      </c>
      <c r="H27" s="81">
        <v>30.318000000000001</v>
      </c>
      <c r="I27" s="81">
        <v>31.789000000000001</v>
      </c>
      <c r="J27" s="81">
        <v>24.07</v>
      </c>
      <c r="K27" s="81">
        <v>33.222000000000001</v>
      </c>
      <c r="L27" s="81">
        <v>32.308999999999997</v>
      </c>
      <c r="M27" s="81">
        <v>30.827000000000002</v>
      </c>
      <c r="N27" s="81">
        <v>42.377000000000002</v>
      </c>
      <c r="O27" s="81">
        <v>47.594999999999999</v>
      </c>
      <c r="P27" s="81">
        <v>57.746000000000002</v>
      </c>
      <c r="Q27" s="81">
        <v>70.263000000000005</v>
      </c>
      <c r="R27" s="81">
        <v>74.126000000000005</v>
      </c>
      <c r="S27" s="81">
        <v>72.224000000000004</v>
      </c>
      <c r="T27" s="81">
        <v>62.488</v>
      </c>
      <c r="U27" s="81">
        <v>50.304000000000002</v>
      </c>
      <c r="V27" s="81">
        <v>59.344999999999999</v>
      </c>
      <c r="W27" s="81">
        <v>56.06</v>
      </c>
      <c r="X27" s="81">
        <v>49.838000000000001</v>
      </c>
      <c r="Y27" s="81">
        <v>40.427</v>
      </c>
    </row>
    <row r="28" spans="1:25">
      <c r="B28" s="24" t="s">
        <v>63</v>
      </c>
      <c r="C28" s="60" t="s">
        <v>54</v>
      </c>
      <c r="D28" s="81">
        <v>45.877000000000002</v>
      </c>
      <c r="E28" s="81">
        <v>45.343000000000004</v>
      </c>
      <c r="F28" s="81">
        <v>40.909999999999997</v>
      </c>
      <c r="G28" s="81">
        <v>39.207000000000001</v>
      </c>
      <c r="H28" s="81">
        <v>38.683</v>
      </c>
      <c r="I28" s="81">
        <v>41.823999999999998</v>
      </c>
      <c r="J28" s="81">
        <v>41.921999999999997</v>
      </c>
      <c r="K28" s="81">
        <v>54.954999999999998</v>
      </c>
      <c r="L28" s="81">
        <v>59.113</v>
      </c>
      <c r="M28" s="81">
        <v>50.567999999999998</v>
      </c>
      <c r="N28" s="81">
        <v>50.793999999999997</v>
      </c>
      <c r="O28" s="81">
        <v>51.521000000000001</v>
      </c>
      <c r="P28" s="81">
        <v>64.945999999999998</v>
      </c>
      <c r="Q28" s="81">
        <v>68.590999999999994</v>
      </c>
      <c r="R28" s="81">
        <v>64.290000000000006</v>
      </c>
      <c r="S28" s="81">
        <v>75.563000000000002</v>
      </c>
      <c r="T28" s="81">
        <v>62.210999999999999</v>
      </c>
      <c r="U28" s="81">
        <v>58.771999999999998</v>
      </c>
      <c r="V28" s="81">
        <v>66.960999999999999</v>
      </c>
      <c r="W28" s="81">
        <v>67.165999999999997</v>
      </c>
      <c r="X28" s="81">
        <v>54.975999999999999</v>
      </c>
      <c r="Y28" s="81">
        <v>52.792999999999999</v>
      </c>
    </row>
    <row r="29" spans="1:25">
      <c r="B29" s="24" t="s">
        <v>64</v>
      </c>
      <c r="C29" s="60" t="s">
        <v>54</v>
      </c>
      <c r="D29" s="81">
        <v>40.177</v>
      </c>
      <c r="E29" s="81">
        <v>44.366999999999997</v>
      </c>
      <c r="F29" s="81">
        <v>39.14</v>
      </c>
      <c r="G29" s="81">
        <v>38.07</v>
      </c>
      <c r="H29" s="81">
        <v>41.152000000000001</v>
      </c>
      <c r="I29" s="81">
        <v>45.374000000000002</v>
      </c>
      <c r="J29" s="81">
        <v>29.46</v>
      </c>
      <c r="K29" s="81">
        <v>35.277999999999999</v>
      </c>
      <c r="L29" s="81">
        <v>29.295999999999999</v>
      </c>
      <c r="M29" s="81">
        <v>28.463999999999999</v>
      </c>
      <c r="N29" s="81">
        <v>30.259</v>
      </c>
      <c r="O29" s="81">
        <v>36.767000000000003</v>
      </c>
      <c r="P29" s="81">
        <v>45.341000000000001</v>
      </c>
      <c r="Q29" s="81">
        <v>49.738</v>
      </c>
      <c r="R29" s="81">
        <v>44.573999999999998</v>
      </c>
      <c r="S29" s="81">
        <v>41.792000000000002</v>
      </c>
      <c r="T29" s="81">
        <v>36.792999999999999</v>
      </c>
      <c r="U29" s="81">
        <v>31.003</v>
      </c>
      <c r="V29" s="81">
        <v>39.758000000000003</v>
      </c>
      <c r="W29" s="81">
        <v>39.384</v>
      </c>
      <c r="X29" s="81">
        <v>35.478999999999999</v>
      </c>
      <c r="Y29" s="81">
        <v>32.945</v>
      </c>
    </row>
    <row r="30" spans="1:25">
      <c r="B30" s="24" t="s">
        <v>65</v>
      </c>
      <c r="C30" s="60" t="s">
        <v>54</v>
      </c>
      <c r="D30" s="81">
        <v>10.538</v>
      </c>
      <c r="E30" s="81">
        <v>10.478999999999999</v>
      </c>
      <c r="F30" s="81">
        <v>10.999000000000001</v>
      </c>
      <c r="G30" s="81">
        <v>10.701000000000001</v>
      </c>
      <c r="H30" s="81">
        <v>11.231999999999999</v>
      </c>
      <c r="I30" s="81">
        <v>11.853</v>
      </c>
      <c r="J30" s="81">
        <v>12.141</v>
      </c>
      <c r="K30" s="81">
        <v>12.314</v>
      </c>
      <c r="L30" s="81">
        <v>10.967000000000001</v>
      </c>
      <c r="M30" s="81">
        <v>9.1479999999999997</v>
      </c>
      <c r="N30" s="81">
        <v>8.9920000000000009</v>
      </c>
      <c r="O30" s="81">
        <v>11.153</v>
      </c>
      <c r="P30" s="81">
        <v>10.628</v>
      </c>
      <c r="Q30" s="81">
        <v>11.279</v>
      </c>
      <c r="R30" s="81">
        <v>10.834</v>
      </c>
      <c r="S30" s="81">
        <v>13.063000000000001</v>
      </c>
      <c r="T30" s="81">
        <v>10.105</v>
      </c>
      <c r="U30" s="81">
        <v>10.734</v>
      </c>
      <c r="V30" s="81">
        <v>13.464</v>
      </c>
      <c r="W30" s="81">
        <v>14.266</v>
      </c>
      <c r="X30" s="81">
        <v>11.180999999999999</v>
      </c>
      <c r="Y30" s="81">
        <v>11.391999999999999</v>
      </c>
    </row>
    <row r="31" spans="1:25">
      <c r="B31" s="24" t="s">
        <v>66</v>
      </c>
      <c r="C31" s="60" t="s">
        <v>54</v>
      </c>
      <c r="D31" s="81">
        <v>20.436</v>
      </c>
      <c r="E31" s="81">
        <v>22.574999999999999</v>
      </c>
      <c r="F31" s="81">
        <v>22.968</v>
      </c>
      <c r="G31" s="81">
        <v>26.004999999999999</v>
      </c>
      <c r="H31" s="81">
        <v>24.913</v>
      </c>
      <c r="I31" s="81">
        <v>22.524999999999999</v>
      </c>
      <c r="J31" s="81">
        <v>18.57</v>
      </c>
      <c r="K31" s="81">
        <v>25.501999999999999</v>
      </c>
      <c r="L31" s="81">
        <v>20.981000000000002</v>
      </c>
      <c r="M31" s="81">
        <v>17.861000000000001</v>
      </c>
      <c r="N31" s="81">
        <v>24.853999999999999</v>
      </c>
      <c r="O31" s="81">
        <v>29.638000000000002</v>
      </c>
      <c r="P31" s="81">
        <v>31.731999999999999</v>
      </c>
      <c r="Q31" s="81">
        <v>25.513000000000002</v>
      </c>
      <c r="R31" s="81">
        <v>19.637</v>
      </c>
      <c r="S31" s="81">
        <v>18.393999999999998</v>
      </c>
      <c r="T31" s="81">
        <v>15.521000000000001</v>
      </c>
      <c r="U31" s="81">
        <v>13.601000000000001</v>
      </c>
      <c r="V31" s="81">
        <v>23.341000000000001</v>
      </c>
      <c r="W31" s="81">
        <v>21.361000000000001</v>
      </c>
      <c r="X31" s="81">
        <v>14.88</v>
      </c>
      <c r="Y31" s="81">
        <v>14.955</v>
      </c>
    </row>
    <row r="32" spans="1:25">
      <c r="B32" s="24" t="s">
        <v>67</v>
      </c>
      <c r="C32" s="60" t="s">
        <v>54</v>
      </c>
      <c r="D32" s="81">
        <v>2.0790000000000002</v>
      </c>
      <c r="E32" s="81">
        <v>2.851</v>
      </c>
      <c r="F32" s="81">
        <v>2.8279999999999998</v>
      </c>
      <c r="G32" s="81">
        <v>2.569</v>
      </c>
      <c r="H32" s="81">
        <v>2.8980000000000001</v>
      </c>
      <c r="I32" s="81">
        <v>2.9249999999999998</v>
      </c>
      <c r="J32" s="81">
        <v>2.9489999999999998</v>
      </c>
      <c r="K32" s="81">
        <v>3.2210000000000001</v>
      </c>
      <c r="L32" s="81">
        <v>3.0640000000000001</v>
      </c>
      <c r="M32" s="81">
        <v>2.2679999999999998</v>
      </c>
      <c r="N32" s="81">
        <v>1.917</v>
      </c>
      <c r="O32" s="81">
        <v>1.962</v>
      </c>
      <c r="P32" s="81">
        <v>2.8420000000000001</v>
      </c>
      <c r="Q32" s="81">
        <v>2.4430000000000001</v>
      </c>
      <c r="R32" s="81">
        <v>2.177</v>
      </c>
      <c r="S32" s="81">
        <v>2.827</v>
      </c>
      <c r="T32" s="81">
        <v>3.0259999999999998</v>
      </c>
      <c r="U32" s="81">
        <v>3.0529999999999999</v>
      </c>
      <c r="V32" s="81">
        <v>4.0529999999999999</v>
      </c>
      <c r="W32" s="81">
        <v>3.512</v>
      </c>
      <c r="X32" s="81">
        <v>3.0590000000000002</v>
      </c>
      <c r="Y32" s="81">
        <v>2.3039999999999998</v>
      </c>
    </row>
    <row r="33" spans="1:25">
      <c r="B33" s="24" t="s">
        <v>68</v>
      </c>
      <c r="C33" s="60" t="s">
        <v>54</v>
      </c>
      <c r="D33" s="81">
        <v>0.98599999999999999</v>
      </c>
      <c r="E33" s="81">
        <v>1.0449999999999999</v>
      </c>
      <c r="F33" s="81">
        <v>1.349</v>
      </c>
      <c r="G33" s="81">
        <v>1.3680000000000001</v>
      </c>
      <c r="H33" s="81">
        <v>1.333</v>
      </c>
      <c r="I33" s="81">
        <v>1.0780000000000001</v>
      </c>
      <c r="J33" s="81">
        <v>0.998</v>
      </c>
      <c r="K33" s="81">
        <v>1.3580000000000001</v>
      </c>
      <c r="L33" s="81">
        <v>1.663</v>
      </c>
      <c r="M33" s="81">
        <v>1.62</v>
      </c>
      <c r="N33" s="81">
        <v>2.3330000000000002</v>
      </c>
      <c r="O33" s="81">
        <v>2.04</v>
      </c>
      <c r="P33" s="81">
        <v>2.0030000000000001</v>
      </c>
      <c r="Q33" s="81">
        <v>1.5389999999999999</v>
      </c>
      <c r="R33" s="81">
        <v>0.99399999999999999</v>
      </c>
      <c r="S33" s="81">
        <v>0.97399999999999998</v>
      </c>
      <c r="T33" s="81">
        <v>0.65</v>
      </c>
      <c r="U33" s="81">
        <v>0.52400000000000002</v>
      </c>
      <c r="V33" s="81">
        <v>0.90900000000000003</v>
      </c>
      <c r="W33" s="81">
        <v>0.52600000000000002</v>
      </c>
      <c r="X33" s="81">
        <v>0.61</v>
      </c>
      <c r="Y33" s="81">
        <v>0.40500000000000003</v>
      </c>
    </row>
    <row r="34" spans="1:25">
      <c r="B34" s="24" t="s">
        <v>69</v>
      </c>
      <c r="C34" s="60" t="s">
        <v>54</v>
      </c>
      <c r="D34" s="81">
        <v>3.1389999999999998</v>
      </c>
      <c r="E34" s="81">
        <v>2.8959999999999999</v>
      </c>
      <c r="F34" s="81">
        <v>2.4580000000000002</v>
      </c>
      <c r="G34" s="81">
        <v>1.835</v>
      </c>
      <c r="H34" s="81">
        <v>2.2440000000000002</v>
      </c>
      <c r="I34" s="81">
        <v>2.2480000000000002</v>
      </c>
      <c r="J34" s="81">
        <v>2.64</v>
      </c>
      <c r="K34" s="81">
        <v>4.4249999999999998</v>
      </c>
      <c r="L34" s="81">
        <v>5.1059999999999999</v>
      </c>
      <c r="M34" s="81">
        <v>4.5949999999999998</v>
      </c>
      <c r="N34" s="81">
        <v>4.4989999999999997</v>
      </c>
      <c r="O34" s="81">
        <v>4.2350000000000003</v>
      </c>
      <c r="P34" s="81">
        <v>4.0519999999999996</v>
      </c>
      <c r="Q34" s="81">
        <v>5.0730000000000004</v>
      </c>
      <c r="R34" s="81">
        <v>4.8029999999999999</v>
      </c>
      <c r="S34" s="81">
        <v>5.0620000000000003</v>
      </c>
      <c r="T34" s="81">
        <v>6.2480000000000002</v>
      </c>
      <c r="U34" s="81">
        <v>5.125</v>
      </c>
      <c r="V34" s="81">
        <v>5.2030000000000003</v>
      </c>
      <c r="W34" s="81">
        <v>5.843</v>
      </c>
      <c r="X34" s="81">
        <v>3.944</v>
      </c>
      <c r="Y34" s="81">
        <v>4.4539999999999997</v>
      </c>
    </row>
    <row r="35" spans="1:25">
      <c r="A35" s="25"/>
      <c r="B35" s="24" t="s">
        <v>70</v>
      </c>
      <c r="C35" s="60" t="s">
        <v>54</v>
      </c>
      <c r="D35" s="81">
        <v>172.346</v>
      </c>
      <c r="E35" s="81">
        <v>175.24700000000001</v>
      </c>
      <c r="F35" s="81">
        <v>160.261</v>
      </c>
      <c r="G35" s="81">
        <v>152.67400000000001</v>
      </c>
      <c r="H35" s="81">
        <v>152.77099999999999</v>
      </c>
      <c r="I35" s="81">
        <v>159.61699999999999</v>
      </c>
      <c r="J35" s="81">
        <v>132.751</v>
      </c>
      <c r="K35" s="81">
        <v>170.27099999999999</v>
      </c>
      <c r="L35" s="81">
        <v>162.499</v>
      </c>
      <c r="M35" s="81">
        <v>145.35</v>
      </c>
      <c r="N35" s="81">
        <v>166.02699999999999</v>
      </c>
      <c r="O35" s="81">
        <v>184.911</v>
      </c>
      <c r="P35" s="81">
        <v>219.28899999999999</v>
      </c>
      <c r="Q35" s="81">
        <v>234.44</v>
      </c>
      <c r="R35" s="81">
        <v>221.43899999999999</v>
      </c>
      <c r="S35" s="81">
        <v>229.89699999999999</v>
      </c>
      <c r="T35" s="81">
        <v>197.041</v>
      </c>
      <c r="U35" s="81">
        <v>173.11500000000001</v>
      </c>
      <c r="V35" s="81">
        <v>213.035</v>
      </c>
      <c r="W35" s="81">
        <v>208.12100000000001</v>
      </c>
      <c r="X35" s="81">
        <v>173.96600000000001</v>
      </c>
      <c r="Y35" s="90">
        <v>159.67699999999999</v>
      </c>
    </row>
    <row r="36" spans="1:25" ht="39.75" customHeight="1">
      <c r="B36" s="38"/>
      <c r="C36" s="38"/>
      <c r="D36" s="167" t="s">
        <v>229</v>
      </c>
      <c r="E36" s="167"/>
      <c r="F36" s="167"/>
      <c r="G36" s="167"/>
      <c r="H36" s="167"/>
      <c r="I36" s="167"/>
      <c r="J36" s="167"/>
      <c r="K36" s="167"/>
      <c r="L36" s="167"/>
      <c r="M36" s="167"/>
      <c r="N36" s="167"/>
      <c r="O36" s="167"/>
      <c r="P36" s="167"/>
      <c r="Q36" s="167"/>
      <c r="R36" s="167"/>
      <c r="S36" s="167"/>
      <c r="T36" s="167"/>
      <c r="U36" s="167"/>
      <c r="V36" s="167"/>
      <c r="W36" s="167"/>
      <c r="X36" s="167"/>
      <c r="Y36" s="167"/>
    </row>
    <row r="37" spans="1:25">
      <c r="A37" t="s">
        <v>2</v>
      </c>
      <c r="F37" s="33"/>
      <c r="G37" s="33"/>
      <c r="H37" s="33"/>
      <c r="I37" s="33"/>
      <c r="J37" s="33"/>
      <c r="K37" s="33"/>
      <c r="L37" s="33"/>
      <c r="M37" s="33"/>
      <c r="N37" s="33"/>
      <c r="O37" s="33"/>
      <c r="P37" s="33"/>
      <c r="Q37" s="33"/>
      <c r="R37" s="33"/>
      <c r="S37" s="33"/>
      <c r="T37" s="33"/>
      <c r="U37" s="33"/>
    </row>
    <row r="38" spans="1:25">
      <c r="A38" t="s">
        <v>2</v>
      </c>
      <c r="F38" s="33"/>
      <c r="G38" s="33"/>
      <c r="H38" s="33"/>
      <c r="I38" s="33"/>
      <c r="J38" s="33"/>
      <c r="K38" s="33"/>
      <c r="L38" s="33"/>
      <c r="M38" s="33"/>
      <c r="N38" s="33"/>
      <c r="O38" s="33"/>
      <c r="P38" s="33"/>
      <c r="Q38" s="33"/>
      <c r="R38" s="33"/>
      <c r="S38" s="33"/>
      <c r="T38" s="33"/>
      <c r="U38" s="33"/>
    </row>
    <row r="39" spans="1:25">
      <c r="A39" t="s">
        <v>2</v>
      </c>
      <c r="F39" s="33"/>
      <c r="G39" s="33"/>
      <c r="H39" s="33"/>
      <c r="I39" s="33"/>
      <c r="J39" s="33"/>
      <c r="K39" s="33"/>
      <c r="L39" s="33"/>
      <c r="M39" s="33"/>
      <c r="N39" s="33"/>
      <c r="O39" s="33"/>
      <c r="P39" s="33"/>
      <c r="Q39" s="33"/>
      <c r="R39" s="33"/>
      <c r="S39" s="33"/>
      <c r="T39" s="33"/>
      <c r="U39" s="33"/>
    </row>
    <row r="40" spans="1:25">
      <c r="A40" t="s">
        <v>2</v>
      </c>
      <c r="F40" s="33"/>
      <c r="G40" s="33"/>
      <c r="H40" s="33"/>
      <c r="I40" s="33"/>
      <c r="J40" s="33"/>
      <c r="K40" s="33"/>
      <c r="L40" s="33"/>
      <c r="M40" s="33"/>
      <c r="N40" s="33"/>
      <c r="O40" s="33"/>
      <c r="P40" s="33"/>
      <c r="Q40" s="33"/>
      <c r="R40" s="33"/>
      <c r="S40" s="33"/>
      <c r="T40" s="33"/>
      <c r="U40" s="33"/>
    </row>
    <row r="41" spans="1:25">
      <c r="A41" t="s">
        <v>2</v>
      </c>
      <c r="F41" s="33"/>
      <c r="G41" s="33"/>
      <c r="H41" s="33"/>
      <c r="I41" s="33"/>
      <c r="J41" s="33"/>
      <c r="K41" s="33"/>
      <c r="L41" s="33"/>
      <c r="M41" s="33"/>
      <c r="N41" s="33"/>
      <c r="O41" s="33"/>
      <c r="P41" s="33"/>
      <c r="Q41" s="33"/>
      <c r="R41" s="33"/>
      <c r="S41" s="33"/>
      <c r="T41" s="33"/>
      <c r="U41" s="33"/>
    </row>
    <row r="42" spans="1:25">
      <c r="A42" t="s">
        <v>2</v>
      </c>
      <c r="F42" s="33"/>
      <c r="G42" s="33"/>
      <c r="H42" s="33"/>
      <c r="I42" s="33"/>
      <c r="J42" s="33"/>
      <c r="K42" s="33"/>
      <c r="L42" s="33"/>
      <c r="M42" s="33"/>
      <c r="N42" s="33"/>
      <c r="O42" s="33"/>
      <c r="P42" s="33"/>
      <c r="Q42" s="33"/>
      <c r="R42" s="33"/>
      <c r="S42" s="33"/>
      <c r="T42" s="33"/>
      <c r="U42" s="33"/>
    </row>
    <row r="43" spans="1:25">
      <c r="A43" t="s">
        <v>2</v>
      </c>
    </row>
    <row r="44" spans="1:25">
      <c r="A44" t="s">
        <v>2</v>
      </c>
    </row>
    <row r="45" spans="1:25">
      <c r="A45" t="s">
        <v>2</v>
      </c>
    </row>
  </sheetData>
  <mergeCells count="2">
    <mergeCell ref="A2:X2"/>
    <mergeCell ref="D36:Y36"/>
  </mergeCells>
  <phoneticPr fontId="14" type="noConversion"/>
  <conditionalFormatting sqref="D14:W14 D25:W25">
    <cfRule type="cellIs" dxfId="16" priority="2" operator="lessThan">
      <formula>0</formula>
    </cfRule>
  </conditionalFormatting>
  <conditionalFormatting sqref="D5:Y13 D15:Y24 D26:Y35">
    <cfRule type="cellIs" dxfId="15" priority="1"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4DC2B-A17F-48C0-ACDC-502A44775260}">
  <dimension ref="A1:AG45"/>
  <sheetViews>
    <sheetView zoomScaleNormal="100" workbookViewId="0">
      <selection activeCell="A13" sqref="A13:N13"/>
    </sheetView>
  </sheetViews>
  <sheetFormatPr defaultColWidth="9.26953125" defaultRowHeight="14.5"/>
  <cols>
    <col min="1" max="1" width="3" customWidth="1"/>
    <col min="2" max="2" width="16.7265625" bestFit="1" customWidth="1"/>
    <col min="3" max="3" width="4.7265625" bestFit="1" customWidth="1"/>
    <col min="4" max="33" width="7.453125" customWidth="1"/>
  </cols>
  <sheetData>
    <row r="1" spans="1:33" ht="71.25" customHeight="1">
      <c r="A1" t="s">
        <v>2</v>
      </c>
    </row>
    <row r="2" spans="1:33" ht="21">
      <c r="A2" s="162" t="s">
        <v>224</v>
      </c>
      <c r="B2" s="162"/>
      <c r="C2" s="162"/>
      <c r="D2" s="162"/>
      <c r="E2" s="162"/>
      <c r="F2" s="162"/>
      <c r="G2" s="162"/>
      <c r="H2" s="162"/>
      <c r="I2" s="162"/>
      <c r="J2" s="162"/>
      <c r="K2" s="162"/>
      <c r="L2" s="162"/>
      <c r="M2" s="162"/>
      <c r="N2" s="162"/>
      <c r="O2" s="162"/>
      <c r="P2" s="162"/>
      <c r="Q2" s="162"/>
      <c r="R2" s="162"/>
      <c r="S2" s="162"/>
      <c r="T2" s="162"/>
      <c r="U2" s="162"/>
      <c r="V2" s="162"/>
      <c r="W2" s="162"/>
      <c r="X2" s="162"/>
      <c r="Y2" s="162"/>
      <c r="Z2" s="162"/>
      <c r="AA2" s="162"/>
    </row>
    <row r="3" spans="1:33" s="21" customFormat="1" ht="15" customHeight="1">
      <c r="A3" s="64" t="s">
        <v>38</v>
      </c>
      <c r="B3" s="64" t="s">
        <v>38</v>
      </c>
      <c r="C3" s="66" t="s">
        <v>37</v>
      </c>
      <c r="D3" s="64" t="s">
        <v>97</v>
      </c>
      <c r="E3" s="64" t="s">
        <v>98</v>
      </c>
      <c r="F3" s="64" t="s">
        <v>99</v>
      </c>
      <c r="G3" s="64" t="s">
        <v>100</v>
      </c>
      <c r="H3" s="64" t="s">
        <v>101</v>
      </c>
      <c r="I3" s="64" t="s">
        <v>102</v>
      </c>
      <c r="J3" s="64" t="s">
        <v>103</v>
      </c>
      <c r="K3" s="64" t="s">
        <v>104</v>
      </c>
      <c r="L3" s="64" t="s">
        <v>105</v>
      </c>
      <c r="M3" s="64" t="s">
        <v>106</v>
      </c>
      <c r="N3" s="64" t="s">
        <v>107</v>
      </c>
      <c r="O3" s="64" t="s">
        <v>108</v>
      </c>
      <c r="P3" s="64" t="s">
        <v>177</v>
      </c>
      <c r="Q3" s="64" t="s">
        <v>178</v>
      </c>
      <c r="R3" s="64" t="s">
        <v>179</v>
      </c>
      <c r="S3" s="64" t="s">
        <v>180</v>
      </c>
      <c r="T3" s="64" t="s">
        <v>301</v>
      </c>
      <c r="U3" s="64" t="s">
        <v>302</v>
      </c>
      <c r="V3" s="64" t="s">
        <v>308</v>
      </c>
      <c r="W3" s="64" t="s">
        <v>306</v>
      </c>
      <c r="X3" s="64" t="s">
        <v>307</v>
      </c>
      <c r="Y3" s="64" t="s">
        <v>328</v>
      </c>
      <c r="Z3" s="64" t="s">
        <v>312</v>
      </c>
      <c r="AA3" s="64" t="s">
        <v>314</v>
      </c>
      <c r="AB3" s="64" t="s">
        <v>316</v>
      </c>
      <c r="AC3" s="64" t="s">
        <v>327</v>
      </c>
      <c r="AD3" s="64" t="s">
        <v>329</v>
      </c>
      <c r="AE3" s="64" t="s">
        <v>330</v>
      </c>
      <c r="AF3" s="64" t="s">
        <v>337</v>
      </c>
      <c r="AG3" s="64" t="s">
        <v>338</v>
      </c>
    </row>
    <row r="4" spans="1:33">
      <c r="A4" s="22" t="s">
        <v>227</v>
      </c>
      <c r="C4" s="61"/>
    </row>
    <row r="5" spans="1:33">
      <c r="B5" s="24" t="s">
        <v>62</v>
      </c>
      <c r="C5" s="60" t="s">
        <v>54</v>
      </c>
      <c r="D5" s="81">
        <v>7.8559999999999999</v>
      </c>
      <c r="E5" s="81">
        <v>8.109</v>
      </c>
      <c r="F5" s="81">
        <v>6.8819999999999997</v>
      </c>
      <c r="G5" s="123">
        <v>7.9550000000000001</v>
      </c>
      <c r="H5" s="123">
        <v>8.5969999999999995</v>
      </c>
      <c r="I5" s="123">
        <v>7.1319999999999997</v>
      </c>
      <c r="J5" s="123">
        <v>6.6950000000000003</v>
      </c>
      <c r="K5" s="123">
        <v>6.7549999999999999</v>
      </c>
      <c r="L5" s="123">
        <v>6.4489999999999998</v>
      </c>
      <c r="M5" s="123">
        <v>5.5380000000000003</v>
      </c>
      <c r="N5" s="123">
        <v>4.8849999999999998</v>
      </c>
      <c r="O5" s="123">
        <v>6.0510000000000002</v>
      </c>
      <c r="P5" s="123">
        <v>6.7460000000000004</v>
      </c>
      <c r="Q5" s="123">
        <v>7.4530000000000003</v>
      </c>
      <c r="R5" s="123">
        <v>6.7629999999999999</v>
      </c>
      <c r="S5" s="123">
        <v>8.984</v>
      </c>
      <c r="T5" s="123">
        <v>8.7330000000000005</v>
      </c>
      <c r="U5" s="123">
        <v>7.5419999999999998</v>
      </c>
      <c r="V5" s="123">
        <v>5.7359999999999998</v>
      </c>
      <c r="W5" s="123">
        <v>7.3460000000000001</v>
      </c>
      <c r="X5" s="123">
        <v>7.7430000000000003</v>
      </c>
      <c r="Y5" s="123">
        <v>21.004000000000001</v>
      </c>
      <c r="Z5" s="123">
        <v>5.45</v>
      </c>
      <c r="AA5" s="123">
        <v>6.37</v>
      </c>
      <c r="AB5" s="123">
        <v>4.9790000000000001</v>
      </c>
      <c r="AC5" s="123">
        <v>5.4119999999999999</v>
      </c>
      <c r="AD5" s="123">
        <v>4.6550000000000002</v>
      </c>
      <c r="AE5" s="123">
        <v>5.6420000000000003</v>
      </c>
      <c r="AF5" s="123">
        <v>5.6760000000000002</v>
      </c>
      <c r="AG5" s="123">
        <v>5.5430000000000001</v>
      </c>
    </row>
    <row r="6" spans="1:33">
      <c r="B6" s="24" t="s">
        <v>63</v>
      </c>
      <c r="C6" s="60" t="s">
        <v>54</v>
      </c>
      <c r="D6" s="81">
        <v>9.548</v>
      </c>
      <c r="E6" s="81">
        <v>9.9030000000000005</v>
      </c>
      <c r="F6" s="81">
        <v>9.0489999999999995</v>
      </c>
      <c r="G6" s="123">
        <v>10.073</v>
      </c>
      <c r="H6" s="123">
        <v>9.5350000000000001</v>
      </c>
      <c r="I6" s="123">
        <v>9.718</v>
      </c>
      <c r="J6" s="123">
        <v>8.6359999999999992</v>
      </c>
      <c r="K6" s="123">
        <v>8.6150000000000002</v>
      </c>
      <c r="L6" s="123">
        <v>8.923</v>
      </c>
      <c r="M6" s="123">
        <v>9.1720000000000006</v>
      </c>
      <c r="N6" s="123">
        <v>8.58</v>
      </c>
      <c r="O6" s="123">
        <v>9.3930000000000007</v>
      </c>
      <c r="P6" s="123">
        <v>10.349</v>
      </c>
      <c r="Q6" s="123">
        <v>11.688000000000001</v>
      </c>
      <c r="R6" s="123">
        <v>10.007</v>
      </c>
      <c r="S6" s="123">
        <v>14.026</v>
      </c>
      <c r="T6" s="123">
        <v>12.441000000000001</v>
      </c>
      <c r="U6" s="123">
        <v>10.564</v>
      </c>
      <c r="V6" s="123">
        <v>9.8469999999999995</v>
      </c>
      <c r="W6" s="123">
        <v>8.4450000000000003</v>
      </c>
      <c r="X6" s="123">
        <v>9.8439999999999994</v>
      </c>
      <c r="Y6" s="123">
        <v>32.704999999999998</v>
      </c>
      <c r="Z6" s="123">
        <v>8.5640000000000001</v>
      </c>
      <c r="AA6" s="123">
        <v>7.6360000000000001</v>
      </c>
      <c r="AB6" s="123">
        <v>8.0570000000000004</v>
      </c>
      <c r="AC6" s="123">
        <v>8.5109999999999992</v>
      </c>
      <c r="AD6" s="123">
        <v>7.5940000000000003</v>
      </c>
      <c r="AE6" s="123">
        <v>8.6240000000000006</v>
      </c>
      <c r="AF6" s="123">
        <v>9.44</v>
      </c>
      <c r="AG6" s="123">
        <v>8.06</v>
      </c>
    </row>
    <row r="7" spans="1:33">
      <c r="B7" s="24" t="s">
        <v>64</v>
      </c>
      <c r="C7" s="60" t="s">
        <v>54</v>
      </c>
      <c r="D7" s="81">
        <v>7.2789999999999999</v>
      </c>
      <c r="E7" s="81">
        <v>6.4470000000000001</v>
      </c>
      <c r="F7" s="81">
        <v>6.2229999999999999</v>
      </c>
      <c r="G7" s="123">
        <v>6.4050000000000002</v>
      </c>
      <c r="H7" s="123">
        <v>6.9859999999999998</v>
      </c>
      <c r="I7" s="123">
        <v>5.65</v>
      </c>
      <c r="J7" s="123">
        <v>5.0650000000000004</v>
      </c>
      <c r="K7" s="123">
        <v>4.9340000000000002</v>
      </c>
      <c r="L7" s="123">
        <v>5.7080000000000002</v>
      </c>
      <c r="M7" s="123">
        <v>5.0720000000000001</v>
      </c>
      <c r="N7" s="123">
        <v>4.7699999999999996</v>
      </c>
      <c r="O7" s="123">
        <v>5.0220000000000002</v>
      </c>
      <c r="P7" s="123">
        <v>5.39</v>
      </c>
      <c r="Q7" s="123">
        <v>6.4059999999999997</v>
      </c>
      <c r="R7" s="123">
        <v>6.1669999999999998</v>
      </c>
      <c r="S7" s="123">
        <v>9.3930000000000007</v>
      </c>
      <c r="T7" s="123">
        <v>7.9960000000000004</v>
      </c>
      <c r="U7" s="123">
        <v>6.7720000000000002</v>
      </c>
      <c r="V7" s="123">
        <v>5.9169999999999998</v>
      </c>
      <c r="W7" s="123">
        <v>6.0839999999999996</v>
      </c>
      <c r="X7" s="123">
        <v>5.9450000000000003</v>
      </c>
      <c r="Y7" s="123">
        <v>20.181000000000001</v>
      </c>
      <c r="Z7" s="123">
        <v>4.9470000000000001</v>
      </c>
      <c r="AA7" s="123">
        <v>5.8109999999999999</v>
      </c>
      <c r="AB7" s="123">
        <v>5.0199999999999996</v>
      </c>
      <c r="AC7" s="123">
        <v>4.6779999999999999</v>
      </c>
      <c r="AD7" s="123">
        <v>4.9429999999999996</v>
      </c>
      <c r="AE7" s="123">
        <v>5.3120000000000003</v>
      </c>
      <c r="AF7" s="123">
        <v>6.6310000000000002</v>
      </c>
      <c r="AG7" s="123">
        <v>5.6520000000000001</v>
      </c>
    </row>
    <row r="8" spans="1:33">
      <c r="B8" s="24" t="s">
        <v>65</v>
      </c>
      <c r="C8" s="60" t="s">
        <v>54</v>
      </c>
      <c r="D8" s="81">
        <v>2.097</v>
      </c>
      <c r="E8" s="81">
        <v>2.012</v>
      </c>
      <c r="F8" s="81">
        <v>1.865</v>
      </c>
      <c r="G8" s="123">
        <v>2.2360000000000002</v>
      </c>
      <c r="H8" s="123">
        <v>2.0070000000000001</v>
      </c>
      <c r="I8" s="123">
        <v>1.7869999999999999</v>
      </c>
      <c r="J8" s="123">
        <v>1.6830000000000001</v>
      </c>
      <c r="K8" s="123">
        <v>1.859</v>
      </c>
      <c r="L8" s="123">
        <v>1.994</v>
      </c>
      <c r="M8" s="123">
        <v>1.9650000000000001</v>
      </c>
      <c r="N8" s="123">
        <v>1.95</v>
      </c>
      <c r="O8" s="123">
        <v>1.774</v>
      </c>
      <c r="P8" s="123">
        <v>2.3109999999999999</v>
      </c>
      <c r="Q8" s="123">
        <v>2.6989999999999998</v>
      </c>
      <c r="R8" s="123">
        <v>3.0430000000000001</v>
      </c>
      <c r="S8" s="123">
        <v>2.9</v>
      </c>
      <c r="T8" s="123">
        <v>2.7309999999999999</v>
      </c>
      <c r="U8" s="123">
        <v>3.3929999999999998</v>
      </c>
      <c r="V8" s="123">
        <v>2.3090000000000002</v>
      </c>
      <c r="W8" s="123">
        <v>2.8370000000000002</v>
      </c>
      <c r="X8" s="123">
        <v>2.9390000000000001</v>
      </c>
      <c r="Y8" s="123">
        <v>8.7070000000000007</v>
      </c>
      <c r="Z8" s="123">
        <v>2.2949999999999999</v>
      </c>
      <c r="AA8" s="123">
        <v>1.798</v>
      </c>
      <c r="AB8" s="123">
        <v>2.1560000000000001</v>
      </c>
      <c r="AC8" s="123">
        <v>2.1480000000000001</v>
      </c>
      <c r="AD8" s="123">
        <v>2.198</v>
      </c>
      <c r="AE8" s="123">
        <v>2.2440000000000002</v>
      </c>
      <c r="AF8" s="123">
        <v>2.242</v>
      </c>
      <c r="AG8" s="123">
        <v>2.7309999999999999</v>
      </c>
    </row>
    <row r="9" spans="1:33">
      <c r="B9" s="24" t="s">
        <v>66</v>
      </c>
      <c r="C9" s="60" t="s">
        <v>54</v>
      </c>
      <c r="D9" s="81">
        <v>3.782</v>
      </c>
      <c r="E9" s="81">
        <v>3.5179999999999998</v>
      </c>
      <c r="F9" s="81">
        <v>3.2290000000000001</v>
      </c>
      <c r="G9" s="123">
        <v>3.0329999999999999</v>
      </c>
      <c r="H9" s="123">
        <v>3.52</v>
      </c>
      <c r="I9" s="123">
        <v>2.907</v>
      </c>
      <c r="J9" s="123">
        <v>2.6339999999999999</v>
      </c>
      <c r="K9" s="123">
        <v>2.93</v>
      </c>
      <c r="L9" s="123">
        <v>2.8180000000000001</v>
      </c>
      <c r="M9" s="123">
        <v>2.746</v>
      </c>
      <c r="N9" s="123">
        <v>2.512</v>
      </c>
      <c r="O9" s="123">
        <v>2.512</v>
      </c>
      <c r="P9" s="123">
        <v>2.9420000000000002</v>
      </c>
      <c r="Q9" s="123">
        <v>5.3330000000000002</v>
      </c>
      <c r="R9" s="123">
        <v>5.9690000000000003</v>
      </c>
      <c r="S9" s="123">
        <v>5.8470000000000004</v>
      </c>
      <c r="T9" s="123">
        <v>4.734</v>
      </c>
      <c r="U9" s="123">
        <v>5.2320000000000002</v>
      </c>
      <c r="V9" s="123">
        <v>3.641</v>
      </c>
      <c r="W9" s="123">
        <v>4.6420000000000003</v>
      </c>
      <c r="X9" s="123">
        <v>3.0459999999999998</v>
      </c>
      <c r="Y9" s="123">
        <v>13.205</v>
      </c>
      <c r="Z9" s="123">
        <v>2.8029999999999999</v>
      </c>
      <c r="AA9" s="123">
        <v>2.92</v>
      </c>
      <c r="AB9" s="123">
        <v>3.0939999999999999</v>
      </c>
      <c r="AC9" s="123">
        <v>3.004</v>
      </c>
      <c r="AD9" s="123">
        <v>3.4750000000000001</v>
      </c>
      <c r="AE9" s="123">
        <v>3.7890000000000001</v>
      </c>
      <c r="AF9" s="123">
        <v>4.8570000000000002</v>
      </c>
      <c r="AG9" s="123">
        <v>4.282</v>
      </c>
    </row>
    <row r="10" spans="1:33">
      <c r="B10" s="24" t="s">
        <v>67</v>
      </c>
      <c r="C10" s="60" t="s">
        <v>54</v>
      </c>
      <c r="D10" s="81">
        <v>0.436</v>
      </c>
      <c r="E10" s="81">
        <v>0.55700000000000005</v>
      </c>
      <c r="F10" s="81">
        <v>0.59699999999999998</v>
      </c>
      <c r="G10" s="123">
        <v>0.72099999999999997</v>
      </c>
      <c r="H10" s="123">
        <v>0.59</v>
      </c>
      <c r="I10" s="123">
        <v>0.71199999999999997</v>
      </c>
      <c r="J10" s="123">
        <v>0.71</v>
      </c>
      <c r="K10" s="123">
        <v>0.67400000000000004</v>
      </c>
      <c r="L10" s="123">
        <v>0.63</v>
      </c>
      <c r="M10" s="123">
        <v>0.71099999999999997</v>
      </c>
      <c r="N10" s="123">
        <v>0.65300000000000002</v>
      </c>
      <c r="O10" s="123">
        <v>0.74399999999999999</v>
      </c>
      <c r="P10" s="123">
        <v>0.74099999999999999</v>
      </c>
      <c r="Q10" s="123">
        <v>0.92200000000000004</v>
      </c>
      <c r="R10" s="123">
        <v>0.97299999999999998</v>
      </c>
      <c r="S10" s="123">
        <v>1.252</v>
      </c>
      <c r="T10" s="123">
        <v>0.84</v>
      </c>
      <c r="U10" s="123">
        <v>0.63500000000000001</v>
      </c>
      <c r="V10" s="123">
        <v>0.73599999999999999</v>
      </c>
      <c r="W10" s="123">
        <v>0.84599999999999997</v>
      </c>
      <c r="X10" s="123">
        <v>0.62</v>
      </c>
      <c r="Y10" s="123">
        <v>2.2050000000000001</v>
      </c>
      <c r="Z10" s="123">
        <v>0.66400000000000003</v>
      </c>
      <c r="AA10" s="123">
        <v>0.71899999999999997</v>
      </c>
      <c r="AB10" s="123">
        <v>0.63</v>
      </c>
      <c r="AC10" s="123">
        <v>0.52500000000000002</v>
      </c>
      <c r="AD10" s="123">
        <v>0.46899999999999997</v>
      </c>
      <c r="AE10" s="123">
        <v>0.55700000000000005</v>
      </c>
      <c r="AF10" s="123">
        <v>0.54600000000000004</v>
      </c>
      <c r="AG10" s="123">
        <v>0.57799999999999996</v>
      </c>
    </row>
    <row r="11" spans="1:33">
      <c r="B11" s="24" t="s">
        <v>68</v>
      </c>
      <c r="C11" s="60" t="s">
        <v>54</v>
      </c>
      <c r="D11" s="81">
        <v>0.16600000000000001</v>
      </c>
      <c r="E11" s="81">
        <v>0.14799999999999999</v>
      </c>
      <c r="F11" s="81">
        <v>0.13700000000000001</v>
      </c>
      <c r="G11" s="123">
        <v>0.158</v>
      </c>
      <c r="H11" s="123">
        <v>0.17599999999999999</v>
      </c>
      <c r="I11" s="123">
        <v>0.11899999999999999</v>
      </c>
      <c r="J11" s="123">
        <v>0.09</v>
      </c>
      <c r="K11" s="123">
        <v>0.11799999999999999</v>
      </c>
      <c r="L11" s="123">
        <v>0.115</v>
      </c>
      <c r="M11" s="123">
        <v>0.1</v>
      </c>
      <c r="N11" s="123">
        <v>8.4000000000000005E-2</v>
      </c>
      <c r="O11" s="123">
        <v>9.8000000000000004E-2</v>
      </c>
      <c r="P11" s="123">
        <v>0.13100000000000001</v>
      </c>
      <c r="Q11" s="123">
        <v>0.17599999999999999</v>
      </c>
      <c r="R11" s="123">
        <v>0.129</v>
      </c>
      <c r="S11" s="123">
        <v>0.29099999999999998</v>
      </c>
      <c r="T11" s="123">
        <v>0.10199999999999999</v>
      </c>
      <c r="U11" s="123">
        <v>0.09</v>
      </c>
      <c r="V11" s="123">
        <v>0.09</v>
      </c>
      <c r="W11" s="123">
        <v>0.10299999999999999</v>
      </c>
      <c r="X11" s="123">
        <v>0.17799999999999999</v>
      </c>
      <c r="Y11" s="123">
        <v>0.33500000000000002</v>
      </c>
      <c r="Z11" s="123">
        <v>0.10100000000000001</v>
      </c>
      <c r="AA11" s="123">
        <v>0.11700000000000001</v>
      </c>
      <c r="AB11" s="123">
        <v>8.2000000000000003E-2</v>
      </c>
      <c r="AC11" s="123">
        <v>8.5999999999999993E-2</v>
      </c>
      <c r="AD11" s="123">
        <v>6.4000000000000001E-2</v>
      </c>
      <c r="AE11" s="123">
        <v>0.104</v>
      </c>
      <c r="AF11" s="123">
        <v>6.9000000000000006E-2</v>
      </c>
      <c r="AG11" s="123">
        <v>7.4999999999999997E-2</v>
      </c>
    </row>
    <row r="12" spans="1:33">
      <c r="B12" s="24" t="s">
        <v>69</v>
      </c>
      <c r="C12" s="60" t="s">
        <v>54</v>
      </c>
      <c r="D12" s="81">
        <v>0.224</v>
      </c>
      <c r="E12" s="81">
        <v>0.3</v>
      </c>
      <c r="F12" s="81">
        <v>0.26800000000000002</v>
      </c>
      <c r="G12" s="123">
        <v>0.36399999999999999</v>
      </c>
      <c r="H12" s="123">
        <v>0.39400000000000002</v>
      </c>
      <c r="I12" s="123">
        <v>0.42199999999999999</v>
      </c>
      <c r="J12" s="123">
        <v>0.27400000000000002</v>
      </c>
      <c r="K12" s="123">
        <v>0.26100000000000001</v>
      </c>
      <c r="L12" s="123">
        <v>0.30599999999999999</v>
      </c>
      <c r="M12" s="123">
        <v>0.34799999999999998</v>
      </c>
      <c r="N12" s="123">
        <v>0.25900000000000001</v>
      </c>
      <c r="O12" s="123">
        <v>0.34</v>
      </c>
      <c r="P12" s="123">
        <v>0.26900000000000002</v>
      </c>
      <c r="Q12" s="123">
        <v>0.34</v>
      </c>
      <c r="R12" s="123">
        <v>0.39900000000000002</v>
      </c>
      <c r="S12" s="123">
        <v>0.40899999999999997</v>
      </c>
      <c r="T12" s="123">
        <v>0.374</v>
      </c>
      <c r="U12" s="123">
        <v>0.47899999999999998</v>
      </c>
      <c r="V12" s="123">
        <v>0.40300000000000002</v>
      </c>
      <c r="W12" s="123">
        <v>0.40799999999999997</v>
      </c>
      <c r="X12" s="123">
        <v>0.47699999999999998</v>
      </c>
      <c r="Y12" s="123">
        <v>0.78800000000000003</v>
      </c>
      <c r="Z12" s="123">
        <v>0.188</v>
      </c>
      <c r="AA12" s="123">
        <v>0.26400000000000001</v>
      </c>
      <c r="AB12" s="123">
        <v>0.21099999999999999</v>
      </c>
      <c r="AC12" s="123">
        <v>0.20300000000000001</v>
      </c>
      <c r="AD12" s="123">
        <v>0.192</v>
      </c>
      <c r="AE12" s="123">
        <v>0.17399999999999999</v>
      </c>
      <c r="AF12" s="123">
        <v>0.182</v>
      </c>
      <c r="AG12" s="123">
        <v>0.17100000000000001</v>
      </c>
    </row>
    <row r="13" spans="1:33">
      <c r="B13" s="24" t="s">
        <v>70</v>
      </c>
      <c r="C13" s="60" t="s">
        <v>54</v>
      </c>
      <c r="D13" s="81">
        <v>31.388000000000002</v>
      </c>
      <c r="E13" s="81">
        <v>30.995000000000001</v>
      </c>
      <c r="F13" s="81">
        <v>28.248999999999999</v>
      </c>
      <c r="G13" s="123">
        <v>30.946000000000002</v>
      </c>
      <c r="H13" s="123">
        <v>31.805</v>
      </c>
      <c r="I13" s="123">
        <v>28.446000000000002</v>
      </c>
      <c r="J13" s="123">
        <v>25.786000000000001</v>
      </c>
      <c r="K13" s="123">
        <v>26.146000000000001</v>
      </c>
      <c r="L13" s="123">
        <v>26.943999999999999</v>
      </c>
      <c r="M13" s="123">
        <v>25.651</v>
      </c>
      <c r="N13" s="123">
        <v>23.693000000000001</v>
      </c>
      <c r="O13" s="123">
        <v>25.933</v>
      </c>
      <c r="P13" s="123">
        <v>28.878</v>
      </c>
      <c r="Q13" s="123">
        <v>35.017000000000003</v>
      </c>
      <c r="R13" s="123">
        <v>33.450000000000003</v>
      </c>
      <c r="S13" s="123">
        <v>43.103000000000002</v>
      </c>
      <c r="T13" s="123">
        <v>37.950000000000003</v>
      </c>
      <c r="U13" s="123">
        <v>34.707000000000001</v>
      </c>
      <c r="V13" s="123">
        <v>28.678000000000001</v>
      </c>
      <c r="W13" s="123">
        <v>30.710999999999999</v>
      </c>
      <c r="X13" s="123">
        <v>30.792999999999999</v>
      </c>
      <c r="Y13" s="123">
        <v>99.131</v>
      </c>
      <c r="Z13" s="123">
        <v>25.010999999999999</v>
      </c>
      <c r="AA13" s="123">
        <v>25.635000000000002</v>
      </c>
      <c r="AB13" s="123">
        <v>24.228999999999999</v>
      </c>
      <c r="AC13" s="123">
        <v>24.568000000000001</v>
      </c>
      <c r="AD13" s="123">
        <v>23.59</v>
      </c>
      <c r="AE13" s="123">
        <v>26.446000000000002</v>
      </c>
      <c r="AF13" s="123">
        <v>29.641999999999999</v>
      </c>
      <c r="AG13" s="123">
        <v>27.091999999999999</v>
      </c>
    </row>
    <row r="14" spans="1:33">
      <c r="A14" t="s">
        <v>2</v>
      </c>
      <c r="C14" s="61"/>
      <c r="D14" s="81"/>
      <c r="E14" s="81"/>
      <c r="F14" s="81"/>
      <c r="G14" s="124"/>
      <c r="H14" s="124"/>
      <c r="I14" s="124"/>
      <c r="J14" s="124"/>
      <c r="K14" s="124"/>
      <c r="L14" s="124"/>
      <c r="M14" s="124"/>
      <c r="N14" s="124"/>
      <c r="O14" s="124"/>
      <c r="P14" s="124"/>
      <c r="Q14" s="124"/>
      <c r="R14" s="124"/>
      <c r="S14" s="124"/>
      <c r="T14" s="124"/>
      <c r="U14" s="124"/>
      <c r="V14" s="124"/>
      <c r="W14" s="124"/>
      <c r="X14" s="124"/>
      <c r="Y14" s="124"/>
      <c r="Z14" s="124"/>
      <c r="AA14" s="124"/>
      <c r="AB14" s="124"/>
      <c r="AC14" s="124"/>
      <c r="AD14" s="124"/>
      <c r="AE14" s="124"/>
      <c r="AF14" s="124"/>
      <c r="AG14" s="124"/>
    </row>
    <row r="15" spans="1:33">
      <c r="A15" s="22" t="s">
        <v>225</v>
      </c>
      <c r="C15" s="61"/>
      <c r="D15" s="81"/>
      <c r="E15" s="81"/>
      <c r="F15" s="81"/>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row>
    <row r="16" spans="1:33">
      <c r="B16" s="24" t="s">
        <v>62</v>
      </c>
      <c r="C16" s="60" t="s">
        <v>54</v>
      </c>
      <c r="D16" s="81">
        <v>10.596</v>
      </c>
      <c r="E16" s="81">
        <v>9.9390000000000001</v>
      </c>
      <c r="F16" s="81">
        <v>10.789</v>
      </c>
      <c r="G16" s="123">
        <v>9.9109999999999996</v>
      </c>
      <c r="H16" s="123">
        <v>10.848000000000001</v>
      </c>
      <c r="I16" s="123">
        <v>9.4939999999999998</v>
      </c>
      <c r="J16" s="123">
        <v>5.8310000000000004</v>
      </c>
      <c r="K16" s="123">
        <v>6.4690000000000003</v>
      </c>
      <c r="L16" s="123">
        <v>5.6459999999999999</v>
      </c>
      <c r="M16" s="123">
        <v>8.7200000000000006</v>
      </c>
      <c r="N16" s="123">
        <v>6.8689999999999998</v>
      </c>
      <c r="O16" s="123">
        <v>5.6689999999999996</v>
      </c>
      <c r="P16" s="123">
        <v>6.1079999999999997</v>
      </c>
      <c r="Q16" s="123">
        <v>6.1719999999999997</v>
      </c>
      <c r="R16" s="123">
        <v>6.5010000000000003</v>
      </c>
      <c r="S16" s="123">
        <v>10.247</v>
      </c>
      <c r="T16" s="123">
        <v>8.6379999999999999</v>
      </c>
      <c r="U16" s="123">
        <v>6.0250000000000004</v>
      </c>
      <c r="V16" s="123">
        <v>5.3819999999999997</v>
      </c>
      <c r="W16" s="123">
        <v>6.2210000000000001</v>
      </c>
      <c r="X16" s="123">
        <v>4.7089999999999996</v>
      </c>
      <c r="Y16" s="123">
        <v>18.666</v>
      </c>
      <c r="Z16" s="123">
        <v>5.8529999999999998</v>
      </c>
      <c r="AA16" s="123">
        <v>7.4359999999999999</v>
      </c>
      <c r="AB16" s="123">
        <v>4.593</v>
      </c>
      <c r="AC16" s="123">
        <v>5.2190000000000003</v>
      </c>
      <c r="AD16" s="123">
        <v>3.6659999999999999</v>
      </c>
      <c r="AE16" s="123">
        <v>4.9039999999999999</v>
      </c>
      <c r="AF16" s="123">
        <v>6.6539999999999999</v>
      </c>
      <c r="AG16" s="123">
        <v>5.0279999999999996</v>
      </c>
    </row>
    <row r="17" spans="1:33">
      <c r="B17" s="24" t="s">
        <v>63</v>
      </c>
      <c r="C17" s="60" t="s">
        <v>54</v>
      </c>
      <c r="D17" s="81">
        <v>8.7550000000000008</v>
      </c>
      <c r="E17" s="81">
        <v>7.36</v>
      </c>
      <c r="F17" s="81">
        <v>12.185</v>
      </c>
      <c r="G17" s="123">
        <v>8.6649999999999991</v>
      </c>
      <c r="H17" s="123">
        <v>6.6440000000000001</v>
      </c>
      <c r="I17" s="123">
        <v>5.7489999999999997</v>
      </c>
      <c r="J17" s="123">
        <v>6.0780000000000003</v>
      </c>
      <c r="K17" s="123">
        <v>6.9509999999999996</v>
      </c>
      <c r="L17" s="123">
        <v>5.0759999999999996</v>
      </c>
      <c r="M17" s="123">
        <v>4.1980000000000004</v>
      </c>
      <c r="N17" s="123">
        <v>7.3390000000000004</v>
      </c>
      <c r="O17" s="123">
        <v>5.94</v>
      </c>
      <c r="P17" s="123">
        <v>4.9880000000000004</v>
      </c>
      <c r="Q17" s="123">
        <v>6.0869999999999997</v>
      </c>
      <c r="R17" s="123">
        <v>4.1050000000000004</v>
      </c>
      <c r="S17" s="123">
        <v>5.5339999999999998</v>
      </c>
      <c r="T17" s="123">
        <v>6.8680000000000003</v>
      </c>
      <c r="U17" s="123">
        <v>6.6849999999999996</v>
      </c>
      <c r="V17" s="123">
        <v>7.165</v>
      </c>
      <c r="W17" s="123">
        <v>5.1139999999999999</v>
      </c>
      <c r="X17" s="123">
        <v>4.6840000000000002</v>
      </c>
      <c r="Y17" s="123">
        <v>19.882999999999999</v>
      </c>
      <c r="Z17" s="123">
        <v>6.5970000000000004</v>
      </c>
      <c r="AA17" s="123">
        <v>3.7069999999999999</v>
      </c>
      <c r="AB17" s="123">
        <v>5.3650000000000002</v>
      </c>
      <c r="AC17" s="123">
        <v>5.0430000000000001</v>
      </c>
      <c r="AD17" s="123">
        <v>5.9859999999999998</v>
      </c>
      <c r="AE17" s="123">
        <v>3.5169999999999999</v>
      </c>
      <c r="AF17" s="123">
        <v>4.8769999999999998</v>
      </c>
      <c r="AG17" s="123">
        <v>4.5010000000000003</v>
      </c>
    </row>
    <row r="18" spans="1:33">
      <c r="B18" s="24" t="s">
        <v>64</v>
      </c>
      <c r="C18" s="60" t="s">
        <v>54</v>
      </c>
      <c r="D18" s="81">
        <v>3.593</v>
      </c>
      <c r="E18" s="81">
        <v>4.0060000000000002</v>
      </c>
      <c r="F18" s="81">
        <v>4.13</v>
      </c>
      <c r="G18" s="123">
        <v>3.6850000000000001</v>
      </c>
      <c r="H18" s="123">
        <v>5.774</v>
      </c>
      <c r="I18" s="123">
        <v>3.0249999999999999</v>
      </c>
      <c r="J18" s="123">
        <v>2.5790000000000002</v>
      </c>
      <c r="K18" s="123">
        <v>2.6709999999999998</v>
      </c>
      <c r="L18" s="123">
        <v>3.64</v>
      </c>
      <c r="M18" s="123">
        <v>1.944</v>
      </c>
      <c r="N18" s="123">
        <v>2.1779999999999999</v>
      </c>
      <c r="O18" s="123">
        <v>2.5099999999999998</v>
      </c>
      <c r="P18" s="123">
        <v>2.6659999999999999</v>
      </c>
      <c r="Q18" s="123">
        <v>2.6949999999999998</v>
      </c>
      <c r="R18" s="123">
        <v>1.9139999999999999</v>
      </c>
      <c r="S18" s="123">
        <v>4.9779999999999998</v>
      </c>
      <c r="T18" s="123">
        <v>3.9529999999999998</v>
      </c>
      <c r="U18" s="123">
        <v>3.617</v>
      </c>
      <c r="V18" s="123">
        <v>2.4649999999999999</v>
      </c>
      <c r="W18" s="123">
        <v>2.4950000000000001</v>
      </c>
      <c r="X18" s="123">
        <v>4.63</v>
      </c>
      <c r="Y18" s="123">
        <v>12.275</v>
      </c>
      <c r="Z18" s="123">
        <v>3.4849999999999999</v>
      </c>
      <c r="AA18" s="123">
        <v>2.9249999999999998</v>
      </c>
      <c r="AB18" s="123">
        <v>2.919</v>
      </c>
      <c r="AC18" s="123">
        <v>2.5760000000000001</v>
      </c>
      <c r="AD18" s="123">
        <v>2.9609999999999999</v>
      </c>
      <c r="AE18" s="123">
        <v>3.403</v>
      </c>
      <c r="AF18" s="123">
        <v>2.8130000000000002</v>
      </c>
      <c r="AG18" s="123">
        <v>3.49</v>
      </c>
    </row>
    <row r="19" spans="1:33">
      <c r="B19" s="24" t="s">
        <v>65</v>
      </c>
      <c r="C19" s="60" t="s">
        <v>54</v>
      </c>
      <c r="D19" s="81">
        <v>1.482</v>
      </c>
      <c r="E19" s="81">
        <v>0.90100000000000002</v>
      </c>
      <c r="F19" s="81">
        <v>1.6539999999999999</v>
      </c>
      <c r="G19" s="123">
        <v>0.79600000000000004</v>
      </c>
      <c r="H19" s="123">
        <v>0.73299999999999998</v>
      </c>
      <c r="I19" s="123">
        <v>0.79200000000000004</v>
      </c>
      <c r="J19" s="123">
        <v>0.57799999999999996</v>
      </c>
      <c r="K19" s="123">
        <v>0.62</v>
      </c>
      <c r="L19" s="123">
        <v>0.79900000000000004</v>
      </c>
      <c r="M19" s="123">
        <v>0.93200000000000005</v>
      </c>
      <c r="N19" s="123">
        <v>0.66700000000000004</v>
      </c>
      <c r="O19" s="123">
        <v>0.61699999999999999</v>
      </c>
      <c r="P19" s="123">
        <v>0.53200000000000003</v>
      </c>
      <c r="Q19" s="123">
        <v>0.54200000000000004</v>
      </c>
      <c r="R19" s="123">
        <v>0.46500000000000002</v>
      </c>
      <c r="S19" s="123">
        <v>0.91700000000000004</v>
      </c>
      <c r="T19" s="123">
        <v>0.60199999999999998</v>
      </c>
      <c r="U19" s="123">
        <v>0.81200000000000006</v>
      </c>
      <c r="V19" s="123">
        <v>0.64300000000000002</v>
      </c>
      <c r="W19" s="123">
        <v>0.85599999999999998</v>
      </c>
      <c r="X19" s="123">
        <v>0.54300000000000004</v>
      </c>
      <c r="Y19" s="123">
        <v>2.5379999999999998</v>
      </c>
      <c r="Z19" s="123">
        <v>0.42</v>
      </c>
      <c r="AA19" s="123">
        <v>0.52300000000000002</v>
      </c>
      <c r="AB19" s="123">
        <v>1.099</v>
      </c>
      <c r="AC19" s="123">
        <v>0.312</v>
      </c>
      <c r="AD19" s="123">
        <v>0.47699999999999998</v>
      </c>
      <c r="AE19" s="123">
        <v>0.622</v>
      </c>
      <c r="AF19" s="123">
        <v>0.72399999999999998</v>
      </c>
      <c r="AG19" s="123">
        <v>0.60499999999999998</v>
      </c>
    </row>
    <row r="20" spans="1:33">
      <c r="B20" s="24" t="s">
        <v>66</v>
      </c>
      <c r="C20" s="60" t="s">
        <v>54</v>
      </c>
      <c r="D20" s="81">
        <v>1.036</v>
      </c>
      <c r="E20" s="81">
        <v>2.0259999999999998</v>
      </c>
      <c r="F20" s="81">
        <v>0.81499999999999995</v>
      </c>
      <c r="G20" s="123">
        <v>0.95</v>
      </c>
      <c r="H20" s="123">
        <v>0.90800000000000003</v>
      </c>
      <c r="I20" s="123">
        <v>0.74399999999999999</v>
      </c>
      <c r="J20" s="123">
        <v>0.72699999999999998</v>
      </c>
      <c r="K20" s="123">
        <v>1.101</v>
      </c>
      <c r="L20" s="123">
        <v>0.87</v>
      </c>
      <c r="M20" s="123">
        <v>0.63600000000000001</v>
      </c>
      <c r="N20" s="123">
        <v>1.032</v>
      </c>
      <c r="O20" s="123">
        <v>0.42099999999999999</v>
      </c>
      <c r="P20" s="123">
        <v>0.54500000000000004</v>
      </c>
      <c r="Q20" s="123">
        <v>0.748</v>
      </c>
      <c r="R20" s="123">
        <v>0.876</v>
      </c>
      <c r="S20" s="123">
        <v>1.0369999999999999</v>
      </c>
      <c r="T20" s="123">
        <v>1.38</v>
      </c>
      <c r="U20" s="123">
        <v>0.73299999999999998</v>
      </c>
      <c r="V20" s="123">
        <v>0.23400000000000001</v>
      </c>
      <c r="W20" s="123">
        <v>0.72199999999999998</v>
      </c>
      <c r="X20" s="123">
        <v>0.46100000000000002</v>
      </c>
      <c r="Y20" s="123">
        <v>1.667</v>
      </c>
      <c r="Z20" s="123">
        <v>0.34799999999999998</v>
      </c>
      <c r="AA20" s="123">
        <v>0.57799999999999996</v>
      </c>
      <c r="AB20" s="123">
        <v>0.34799999999999998</v>
      </c>
      <c r="AC20" s="123">
        <v>0.28799999999999998</v>
      </c>
      <c r="AD20" s="123">
        <v>0.39700000000000002</v>
      </c>
      <c r="AE20" s="123">
        <v>0.60399999999999998</v>
      </c>
      <c r="AF20" s="123">
        <v>1.0309999999999999</v>
      </c>
      <c r="AG20" s="123">
        <v>0.84199999999999997</v>
      </c>
    </row>
    <row r="21" spans="1:33">
      <c r="B21" s="24" t="s">
        <v>67</v>
      </c>
      <c r="C21" s="60" t="s">
        <v>54</v>
      </c>
      <c r="D21" s="81">
        <v>0.17199999999999999</v>
      </c>
      <c r="E21" s="81">
        <v>0.19900000000000001</v>
      </c>
      <c r="F21" s="81">
        <v>8.10000000000001E-2</v>
      </c>
      <c r="G21" s="123">
        <v>6.2E-2</v>
      </c>
      <c r="H21" s="123">
        <v>7.3999999999999996E-2</v>
      </c>
      <c r="I21" s="123">
        <v>3.7999999999999999E-2</v>
      </c>
      <c r="J21" s="123">
        <v>9.4E-2</v>
      </c>
      <c r="K21" s="123">
        <v>8.5999999999999993E-2</v>
      </c>
      <c r="L21" s="123">
        <v>7.8E-2</v>
      </c>
      <c r="M21" s="123">
        <v>8.5000000000000006E-2</v>
      </c>
      <c r="N21" s="123">
        <v>9.2999999999999999E-2</v>
      </c>
      <c r="O21" s="123">
        <v>3.3000000000000002E-2</v>
      </c>
      <c r="P21" s="123">
        <v>3.1E-2</v>
      </c>
      <c r="Q21" s="123">
        <v>1.4999999999999999E-2</v>
      </c>
      <c r="R21" s="123">
        <v>4.7E-2</v>
      </c>
      <c r="S21" s="123">
        <v>0.04</v>
      </c>
      <c r="T21" s="123">
        <v>0.188</v>
      </c>
      <c r="U21" s="123">
        <v>9.8000000000000004E-2</v>
      </c>
      <c r="V21" s="123">
        <v>0.05</v>
      </c>
      <c r="W21" s="123">
        <v>0.1</v>
      </c>
      <c r="X21" s="123">
        <v>8.3000000000000004E-2</v>
      </c>
      <c r="Y21" s="123">
        <v>7.1999999999999995E-2</v>
      </c>
      <c r="Z21" s="123">
        <v>5.8000000000000003E-2</v>
      </c>
      <c r="AA21" s="123">
        <v>4.4999999999999998E-2</v>
      </c>
      <c r="AB21" s="123">
        <v>1.7999999999999999E-2</v>
      </c>
      <c r="AC21" s="123">
        <v>4.8000000000000001E-2</v>
      </c>
      <c r="AD21" s="123">
        <v>4.0000000000000001E-3</v>
      </c>
      <c r="AE21" s="123">
        <v>2E-3</v>
      </c>
      <c r="AF21" s="123">
        <v>9.5000000000000001E-2</v>
      </c>
      <c r="AG21" s="123">
        <v>8.9999999999999993E-3</v>
      </c>
    </row>
    <row r="22" spans="1:33">
      <c r="B22" s="24" t="s">
        <v>68</v>
      </c>
      <c r="C22" s="60" t="s">
        <v>54</v>
      </c>
      <c r="D22" s="81">
        <v>0.26400000000000001</v>
      </c>
      <c r="E22" s="81">
        <v>2.9000000000000001E-2</v>
      </c>
      <c r="F22" s="81">
        <v>0.05</v>
      </c>
      <c r="G22" s="123">
        <v>1.4E-2</v>
      </c>
      <c r="H22" s="123">
        <v>2.8000000000000001E-2</v>
      </c>
      <c r="I22" s="123">
        <v>4.0000000000000001E-3</v>
      </c>
      <c r="J22" s="123">
        <v>6.8000000000000005E-2</v>
      </c>
      <c r="K22" s="123">
        <v>3.2000000000000001E-2</v>
      </c>
      <c r="L22" s="123">
        <v>3.2000000000000001E-2</v>
      </c>
      <c r="M22" s="123">
        <v>2.9000000000000001E-2</v>
      </c>
      <c r="N22" s="123">
        <v>5.0000000000000001E-3</v>
      </c>
      <c r="O22" s="123">
        <v>4.4999999999999998E-2</v>
      </c>
      <c r="P22" s="123">
        <v>1.9E-2</v>
      </c>
      <c r="Q22" s="123">
        <v>0.1</v>
      </c>
      <c r="R22" s="123">
        <v>1.6E-2</v>
      </c>
      <c r="S22" s="123">
        <v>2.3E-2</v>
      </c>
      <c r="T22" s="123">
        <v>0.02</v>
      </c>
      <c r="U22" s="123">
        <v>1.2E-2</v>
      </c>
      <c r="V22" s="123">
        <v>0.04</v>
      </c>
      <c r="W22" s="123" t="s">
        <v>211</v>
      </c>
      <c r="X22" s="123">
        <v>4.7E-2</v>
      </c>
      <c r="Y22" s="123">
        <v>7.2999999999999995E-2</v>
      </c>
      <c r="Z22" s="123">
        <v>1.4999999999999999E-2</v>
      </c>
      <c r="AA22" s="123">
        <v>1.2999999999999999E-2</v>
      </c>
      <c r="AB22" s="123">
        <v>1.6E-2</v>
      </c>
      <c r="AC22" s="123" t="s">
        <v>211</v>
      </c>
      <c r="AD22" s="123">
        <v>4.0000000000000001E-3</v>
      </c>
      <c r="AE22" s="123">
        <v>5.1999999999999998E-2</v>
      </c>
      <c r="AF22" s="123">
        <v>4.0000000000000001E-3</v>
      </c>
      <c r="AG22" s="123">
        <v>2.4E-2</v>
      </c>
    </row>
    <row r="23" spans="1:33">
      <c r="B23" s="24" t="s">
        <v>69</v>
      </c>
      <c r="C23" s="60" t="s">
        <v>54</v>
      </c>
      <c r="D23" s="81">
        <v>1.5780000000000001</v>
      </c>
      <c r="E23" s="81">
        <v>0.57999999999999996</v>
      </c>
      <c r="F23" s="81">
        <v>0.28000000000000003</v>
      </c>
      <c r="G23" s="123">
        <v>1.468</v>
      </c>
      <c r="H23" s="123">
        <v>2.37</v>
      </c>
      <c r="I23" s="123">
        <v>0.84</v>
      </c>
      <c r="J23" s="123">
        <v>0.53900000000000003</v>
      </c>
      <c r="K23" s="123">
        <v>0.95399999999999996</v>
      </c>
      <c r="L23" s="123">
        <v>0.47799999999999998</v>
      </c>
      <c r="M23" s="123">
        <v>1.139</v>
      </c>
      <c r="N23" s="123">
        <v>1.32</v>
      </c>
      <c r="O23" s="123">
        <v>0.93100000000000005</v>
      </c>
      <c r="P23" s="123">
        <v>0.45900000000000002</v>
      </c>
      <c r="Q23" s="123">
        <v>0.84499999999999997</v>
      </c>
      <c r="R23" s="123">
        <v>1.337</v>
      </c>
      <c r="S23" s="123">
        <v>1.1379999999999999</v>
      </c>
      <c r="T23" s="123">
        <v>0.65300000000000002</v>
      </c>
      <c r="U23" s="123">
        <v>1.1220000000000001</v>
      </c>
      <c r="V23" s="123">
        <v>0.95399999999999996</v>
      </c>
      <c r="W23" s="123">
        <v>1.448</v>
      </c>
      <c r="X23" s="123">
        <v>0.89</v>
      </c>
      <c r="Y23" s="123">
        <v>3.641</v>
      </c>
      <c r="Z23" s="123">
        <v>0.77100000000000002</v>
      </c>
      <c r="AA23" s="123">
        <v>0.40600000000000003</v>
      </c>
      <c r="AB23" s="123">
        <v>0.99399999999999999</v>
      </c>
      <c r="AC23" s="123">
        <v>0.70199999999999996</v>
      </c>
      <c r="AD23" s="123">
        <v>1.083</v>
      </c>
      <c r="AE23" s="123">
        <v>0.82199999999999995</v>
      </c>
      <c r="AF23" s="123">
        <v>8.5999999999999993E-2</v>
      </c>
      <c r="AG23" s="123">
        <v>0.55300000000000005</v>
      </c>
    </row>
    <row r="24" spans="1:33">
      <c r="B24" s="24" t="s">
        <v>70</v>
      </c>
      <c r="C24" s="60" t="s">
        <v>54</v>
      </c>
      <c r="D24" s="81">
        <v>27.475000000000001</v>
      </c>
      <c r="E24" s="81">
        <v>25.038</v>
      </c>
      <c r="F24" s="81">
        <v>29.984999999999999</v>
      </c>
      <c r="G24" s="123">
        <v>25.552</v>
      </c>
      <c r="H24" s="123">
        <v>27.379000000000001</v>
      </c>
      <c r="I24" s="123">
        <v>20.686</v>
      </c>
      <c r="J24" s="123">
        <v>16.495000000000001</v>
      </c>
      <c r="K24" s="123">
        <v>18.882999999999999</v>
      </c>
      <c r="L24" s="123">
        <v>16.619</v>
      </c>
      <c r="M24" s="123">
        <v>17.681999999999999</v>
      </c>
      <c r="N24" s="123">
        <v>19.501999999999999</v>
      </c>
      <c r="O24" s="123">
        <v>16.164999999999999</v>
      </c>
      <c r="P24" s="123">
        <v>15.348000000000001</v>
      </c>
      <c r="Q24" s="123">
        <v>17.204000000000001</v>
      </c>
      <c r="R24" s="123">
        <v>15.262</v>
      </c>
      <c r="S24" s="123">
        <v>23.913</v>
      </c>
      <c r="T24" s="123">
        <v>22.302</v>
      </c>
      <c r="U24" s="123">
        <v>19.103999999999999</v>
      </c>
      <c r="V24" s="123">
        <v>16.933</v>
      </c>
      <c r="W24" s="123">
        <v>16.956</v>
      </c>
      <c r="X24" s="123">
        <v>16.047000000000001</v>
      </c>
      <c r="Y24" s="123">
        <v>58.819000000000003</v>
      </c>
      <c r="Z24" s="123">
        <v>17.547999999999998</v>
      </c>
      <c r="AA24" s="123">
        <v>15.632</v>
      </c>
      <c r="AB24" s="123">
        <v>15.351000000000001</v>
      </c>
      <c r="AC24" s="123">
        <v>14.189</v>
      </c>
      <c r="AD24" s="123">
        <v>14.579000000000001</v>
      </c>
      <c r="AE24" s="123">
        <v>13.928000000000001</v>
      </c>
      <c r="AF24" s="123">
        <v>16.283999999999999</v>
      </c>
      <c r="AG24" s="123">
        <v>15.053000000000001</v>
      </c>
    </row>
    <row r="25" spans="1:33">
      <c r="A25" t="s">
        <v>2</v>
      </c>
      <c r="C25" s="61"/>
      <c r="D25" s="81"/>
      <c r="E25" s="81"/>
      <c r="F25" s="81"/>
      <c r="G25" s="126"/>
      <c r="H25" s="126"/>
      <c r="I25" s="126"/>
      <c r="J25" s="126"/>
      <c r="K25" s="126"/>
      <c r="L25" s="126"/>
      <c r="M25" s="126"/>
      <c r="N25" s="126"/>
      <c r="O25" s="126"/>
      <c r="P25" s="126"/>
      <c r="Q25" s="126"/>
      <c r="R25" s="126"/>
      <c r="S25" s="126"/>
      <c r="T25" s="126"/>
      <c r="U25" s="126"/>
      <c r="V25" s="126"/>
      <c r="W25" s="126"/>
      <c r="X25" s="126"/>
      <c r="Y25" s="126"/>
      <c r="Z25" s="126"/>
      <c r="AA25" s="126"/>
      <c r="AB25" s="126"/>
      <c r="AC25" s="126"/>
      <c r="AD25" s="126"/>
      <c r="AE25" s="126"/>
      <c r="AF25" s="126"/>
      <c r="AG25" s="126"/>
    </row>
    <row r="26" spans="1:33">
      <c r="A26" s="22" t="s">
        <v>226</v>
      </c>
      <c r="C26" s="61"/>
      <c r="D26" s="81"/>
      <c r="E26" s="81"/>
      <c r="F26" s="81"/>
      <c r="G26" s="124"/>
      <c r="H26" s="124"/>
      <c r="I26" s="124"/>
      <c r="J26" s="124"/>
      <c r="K26" s="124"/>
      <c r="L26" s="124"/>
      <c r="M26" s="124"/>
      <c r="N26" s="124"/>
      <c r="O26" s="124"/>
      <c r="P26" s="124"/>
      <c r="Q26" s="124"/>
      <c r="R26" s="124"/>
      <c r="S26" s="124"/>
      <c r="T26" s="124"/>
      <c r="U26" s="124"/>
      <c r="V26" s="124"/>
      <c r="W26" s="124"/>
      <c r="X26" s="124"/>
      <c r="Y26" s="124"/>
      <c r="Z26" s="124"/>
      <c r="AA26" s="124"/>
      <c r="AB26" s="124"/>
      <c r="AC26" s="124"/>
      <c r="AD26" s="124"/>
      <c r="AE26" s="124"/>
      <c r="AF26" s="124"/>
      <c r="AG26" s="124"/>
    </row>
    <row r="27" spans="1:33">
      <c r="B27" s="24" t="s">
        <v>62</v>
      </c>
      <c r="C27" s="60" t="s">
        <v>54</v>
      </c>
      <c r="D27" s="81">
        <v>18.452000000000002</v>
      </c>
      <c r="E27" s="81">
        <v>18.047999999999998</v>
      </c>
      <c r="F27" s="81">
        <v>17.670999999999999</v>
      </c>
      <c r="G27" s="123">
        <v>17.959</v>
      </c>
      <c r="H27" s="123">
        <v>19.599</v>
      </c>
      <c r="I27" s="123">
        <v>16.885000000000002</v>
      </c>
      <c r="J27" s="123">
        <v>12.627000000000001</v>
      </c>
      <c r="K27" s="123">
        <v>13.377000000000001</v>
      </c>
      <c r="L27" s="123">
        <v>12.27</v>
      </c>
      <c r="M27" s="123">
        <v>14.331</v>
      </c>
      <c r="N27" s="123">
        <v>11.872999999999999</v>
      </c>
      <c r="O27" s="123">
        <v>11.83</v>
      </c>
      <c r="P27" s="123">
        <v>12.904</v>
      </c>
      <c r="Q27" s="123">
        <v>13.711</v>
      </c>
      <c r="R27" s="123">
        <v>13.348000000000001</v>
      </c>
      <c r="S27" s="123">
        <v>19.382000000000001</v>
      </c>
      <c r="T27" s="123">
        <v>17.55</v>
      </c>
      <c r="U27" s="123">
        <v>13.686</v>
      </c>
      <c r="V27" s="123">
        <v>11.176</v>
      </c>
      <c r="W27" s="123">
        <v>13.648</v>
      </c>
      <c r="X27" s="123">
        <v>12.551</v>
      </c>
      <c r="Y27" s="123">
        <v>40.024999999999999</v>
      </c>
      <c r="Z27" s="123">
        <v>11.409000000000001</v>
      </c>
      <c r="AA27" s="123">
        <v>14.006</v>
      </c>
      <c r="AB27" s="123">
        <v>9.6519999999999992</v>
      </c>
      <c r="AC27" s="123">
        <v>10.760999999999999</v>
      </c>
      <c r="AD27" s="123">
        <v>8.4019999999999992</v>
      </c>
      <c r="AE27" s="123">
        <v>10.625</v>
      </c>
      <c r="AF27" s="123">
        <v>12.412000000000001</v>
      </c>
      <c r="AG27" s="123">
        <v>10.653</v>
      </c>
    </row>
    <row r="28" spans="1:33">
      <c r="B28" s="24" t="s">
        <v>63</v>
      </c>
      <c r="C28" s="60" t="s">
        <v>54</v>
      </c>
      <c r="D28" s="81">
        <v>18.303000000000001</v>
      </c>
      <c r="E28" s="81">
        <v>17.263000000000002</v>
      </c>
      <c r="F28" s="81">
        <v>21.234000000000002</v>
      </c>
      <c r="G28" s="123">
        <v>18.763000000000002</v>
      </c>
      <c r="H28" s="123">
        <v>16.271999999999998</v>
      </c>
      <c r="I28" s="123">
        <v>15.574</v>
      </c>
      <c r="J28" s="123">
        <v>14.766999999999999</v>
      </c>
      <c r="K28" s="123">
        <v>15.598000000000001</v>
      </c>
      <c r="L28" s="123">
        <v>14.054</v>
      </c>
      <c r="M28" s="123">
        <v>13.409000000000001</v>
      </c>
      <c r="N28" s="123">
        <v>15.932</v>
      </c>
      <c r="O28" s="123">
        <v>15.377000000000001</v>
      </c>
      <c r="P28" s="123">
        <v>15.361000000000001</v>
      </c>
      <c r="Q28" s="123">
        <v>17.797999999999998</v>
      </c>
      <c r="R28" s="123">
        <v>14.146000000000001</v>
      </c>
      <c r="S28" s="123">
        <v>19.655999999999999</v>
      </c>
      <c r="T28" s="123">
        <v>19.324000000000002</v>
      </c>
      <c r="U28" s="123">
        <v>17.260999999999999</v>
      </c>
      <c r="V28" s="123">
        <v>17.018999999999998</v>
      </c>
      <c r="W28" s="123">
        <v>13.561999999999999</v>
      </c>
      <c r="X28" s="123">
        <v>14.552</v>
      </c>
      <c r="Y28" s="123">
        <v>52.658999999999999</v>
      </c>
      <c r="Z28" s="123">
        <v>15.212</v>
      </c>
      <c r="AA28" s="123">
        <v>11.345000000000001</v>
      </c>
      <c r="AB28" s="123">
        <v>13.423999999999999</v>
      </c>
      <c r="AC28" s="123">
        <v>13.573</v>
      </c>
      <c r="AD28" s="123">
        <v>13.587999999999999</v>
      </c>
      <c r="AE28" s="123">
        <v>12.188000000000001</v>
      </c>
      <c r="AF28" s="123">
        <v>14.327999999999999</v>
      </c>
      <c r="AG28" s="123">
        <v>12.564</v>
      </c>
    </row>
    <row r="29" spans="1:33">
      <c r="B29" s="24" t="s">
        <v>64</v>
      </c>
      <c r="C29" s="60" t="s">
        <v>54</v>
      </c>
      <c r="D29" s="81">
        <v>10.872</v>
      </c>
      <c r="E29" s="81">
        <v>10.452999999999999</v>
      </c>
      <c r="F29" s="81">
        <v>10.353</v>
      </c>
      <c r="G29" s="123">
        <v>10.114000000000001</v>
      </c>
      <c r="H29" s="123">
        <v>12.782</v>
      </c>
      <c r="I29" s="123">
        <v>8.7129999999999992</v>
      </c>
      <c r="J29" s="123">
        <v>7.6669999999999998</v>
      </c>
      <c r="K29" s="123">
        <v>7.6310000000000002</v>
      </c>
      <c r="L29" s="123">
        <v>9.3800000000000008</v>
      </c>
      <c r="M29" s="123">
        <v>7.0659999999999998</v>
      </c>
      <c r="N29" s="123">
        <v>6.976</v>
      </c>
      <c r="O29" s="123">
        <v>7.5810000000000004</v>
      </c>
      <c r="P29" s="123">
        <v>8.1129999999999995</v>
      </c>
      <c r="Q29" s="123">
        <v>9.1219999999999999</v>
      </c>
      <c r="R29" s="123">
        <v>8.1080000000000005</v>
      </c>
      <c r="S29" s="123">
        <v>14.414999999999999</v>
      </c>
      <c r="T29" s="123">
        <v>11.97</v>
      </c>
      <c r="U29" s="123">
        <v>10.414999999999999</v>
      </c>
      <c r="V29" s="123">
        <v>8.4139999999999997</v>
      </c>
      <c r="W29" s="123">
        <v>8.5850000000000009</v>
      </c>
      <c r="X29" s="123">
        <v>10.603999999999999</v>
      </c>
      <c r="Y29" s="123">
        <v>32.628999999999998</v>
      </c>
      <c r="Z29" s="123">
        <v>8.5180000000000007</v>
      </c>
      <c r="AA29" s="123">
        <v>8.76</v>
      </c>
      <c r="AB29" s="123">
        <v>7.9720000000000004</v>
      </c>
      <c r="AC29" s="123">
        <v>7.343</v>
      </c>
      <c r="AD29" s="123">
        <v>7.9210000000000003</v>
      </c>
      <c r="AE29" s="123">
        <v>8.7629999999999999</v>
      </c>
      <c r="AF29" s="123">
        <v>9.4770000000000003</v>
      </c>
      <c r="AG29" s="123">
        <v>9.1760000000000002</v>
      </c>
    </row>
    <row r="30" spans="1:33">
      <c r="B30" s="24" t="s">
        <v>65</v>
      </c>
      <c r="C30" s="60" t="s">
        <v>54</v>
      </c>
      <c r="D30" s="81">
        <v>3.5790000000000002</v>
      </c>
      <c r="E30" s="81">
        <v>2.9129999999999998</v>
      </c>
      <c r="F30" s="81">
        <v>3.5190000000000001</v>
      </c>
      <c r="G30" s="123">
        <v>3.052</v>
      </c>
      <c r="H30" s="123">
        <v>2.7570000000000001</v>
      </c>
      <c r="I30" s="123">
        <v>2.5920000000000001</v>
      </c>
      <c r="J30" s="123">
        <v>2.2719999999999998</v>
      </c>
      <c r="K30" s="123">
        <v>2.484</v>
      </c>
      <c r="L30" s="123">
        <v>2.7989999999999999</v>
      </c>
      <c r="M30" s="123">
        <v>2.9119999999999999</v>
      </c>
      <c r="N30" s="123">
        <v>2.6240000000000001</v>
      </c>
      <c r="O30" s="123">
        <v>2.399</v>
      </c>
      <c r="P30" s="123">
        <v>2.8530000000000002</v>
      </c>
      <c r="Q30" s="123">
        <v>3.2669999999999999</v>
      </c>
      <c r="R30" s="123">
        <v>3.5129999999999999</v>
      </c>
      <c r="S30" s="123">
        <v>3.831</v>
      </c>
      <c r="T30" s="123">
        <v>3.3570000000000002</v>
      </c>
      <c r="U30" s="123">
        <v>4.2160000000000002</v>
      </c>
      <c r="V30" s="123">
        <v>2.992</v>
      </c>
      <c r="W30" s="123">
        <v>3.7010000000000001</v>
      </c>
      <c r="X30" s="123">
        <v>3.4969999999999999</v>
      </c>
      <c r="Y30" s="123">
        <v>11.307</v>
      </c>
      <c r="Z30" s="123">
        <v>2.722</v>
      </c>
      <c r="AA30" s="123">
        <v>2.3460000000000001</v>
      </c>
      <c r="AB30" s="123">
        <v>3.2759999999999998</v>
      </c>
      <c r="AC30" s="123">
        <v>2.4700000000000002</v>
      </c>
      <c r="AD30" s="123">
        <v>2.6909999999999998</v>
      </c>
      <c r="AE30" s="123">
        <v>2.8809999999999998</v>
      </c>
      <c r="AF30" s="123">
        <v>2.9809999999999999</v>
      </c>
      <c r="AG30" s="123">
        <v>3.351</v>
      </c>
    </row>
    <row r="31" spans="1:33">
      <c r="B31" s="24" t="s">
        <v>66</v>
      </c>
      <c r="C31" s="60" t="s">
        <v>54</v>
      </c>
      <c r="D31" s="81">
        <v>4.8179999999999996</v>
      </c>
      <c r="E31" s="81">
        <v>5.5439999999999996</v>
      </c>
      <c r="F31" s="81">
        <v>4.0439999999999996</v>
      </c>
      <c r="G31" s="123">
        <v>3.988</v>
      </c>
      <c r="H31" s="123">
        <v>4.4429999999999996</v>
      </c>
      <c r="I31" s="123">
        <v>3.665</v>
      </c>
      <c r="J31" s="123">
        <v>3.3719999999999999</v>
      </c>
      <c r="K31" s="123">
        <v>4.0410000000000004</v>
      </c>
      <c r="L31" s="123">
        <v>3.6989999999999998</v>
      </c>
      <c r="M31" s="123">
        <v>3.4020000000000001</v>
      </c>
      <c r="N31" s="123">
        <v>3.56</v>
      </c>
      <c r="O31" s="123">
        <v>2.94</v>
      </c>
      <c r="P31" s="123">
        <v>3.51</v>
      </c>
      <c r="Q31" s="123">
        <v>6.0890000000000004</v>
      </c>
      <c r="R31" s="123">
        <v>6.8529999999999998</v>
      </c>
      <c r="S31" s="123">
        <v>6.8890000000000002</v>
      </c>
      <c r="T31" s="123">
        <v>6.1289999999999996</v>
      </c>
      <c r="U31" s="123">
        <v>5.9720000000000004</v>
      </c>
      <c r="V31" s="123">
        <v>3.8849999999999998</v>
      </c>
      <c r="W31" s="123">
        <v>5.375</v>
      </c>
      <c r="X31" s="123">
        <v>3.51</v>
      </c>
      <c r="Y31" s="123">
        <v>14.927</v>
      </c>
      <c r="Z31" s="123">
        <v>3.1549999999999998</v>
      </c>
      <c r="AA31" s="123">
        <v>3.504</v>
      </c>
      <c r="AB31" s="123">
        <v>3.4470000000000001</v>
      </c>
      <c r="AC31" s="123">
        <v>3.302</v>
      </c>
      <c r="AD31" s="123">
        <v>3.8919999999999999</v>
      </c>
      <c r="AE31" s="123">
        <v>4.4130000000000003</v>
      </c>
      <c r="AF31" s="123">
        <v>5.8979999999999997</v>
      </c>
      <c r="AG31" s="123">
        <v>5.1289999999999996</v>
      </c>
    </row>
    <row r="32" spans="1:33">
      <c r="B32" s="24" t="s">
        <v>67</v>
      </c>
      <c r="C32" s="60" t="s">
        <v>54</v>
      </c>
      <c r="D32" s="81">
        <v>0.60799999999999998</v>
      </c>
      <c r="E32" s="81">
        <v>0.75600000000000001</v>
      </c>
      <c r="F32" s="81">
        <v>0.67800000000000005</v>
      </c>
      <c r="G32" s="123">
        <v>0.78500000000000003</v>
      </c>
      <c r="H32" s="123">
        <v>0.66700000000000004</v>
      </c>
      <c r="I32" s="123">
        <v>0.77600000000000002</v>
      </c>
      <c r="J32" s="123">
        <v>0.81299999999999994</v>
      </c>
      <c r="K32" s="123">
        <v>0.77</v>
      </c>
      <c r="L32" s="123">
        <v>0.72</v>
      </c>
      <c r="M32" s="123">
        <v>0.80300000000000005</v>
      </c>
      <c r="N32" s="123">
        <v>0.753</v>
      </c>
      <c r="O32" s="123">
        <v>0.77700000000000002</v>
      </c>
      <c r="P32" s="123">
        <v>0.78</v>
      </c>
      <c r="Q32" s="123">
        <v>0.93799999999999994</v>
      </c>
      <c r="R32" s="123">
        <v>1.0249999999999999</v>
      </c>
      <c r="S32" s="123">
        <v>1.31</v>
      </c>
      <c r="T32" s="123">
        <v>1.0329999999999999</v>
      </c>
      <c r="U32" s="123">
        <v>0.73399999999999999</v>
      </c>
      <c r="V32" s="123">
        <v>0.79500000000000004</v>
      </c>
      <c r="W32" s="123">
        <v>0.95</v>
      </c>
      <c r="X32" s="123">
        <v>0.70499999999999996</v>
      </c>
      <c r="Y32" s="123">
        <v>2.298</v>
      </c>
      <c r="Z32" s="123">
        <v>0.75</v>
      </c>
      <c r="AA32" s="123">
        <v>0.77</v>
      </c>
      <c r="AB32" s="123">
        <v>0.65</v>
      </c>
      <c r="AC32" s="123">
        <v>0.58099999999999996</v>
      </c>
      <c r="AD32" s="123">
        <v>0.47699999999999998</v>
      </c>
      <c r="AE32" s="123">
        <v>0.56599999999999995</v>
      </c>
      <c r="AF32" s="123">
        <v>0.65100000000000002</v>
      </c>
      <c r="AG32" s="123">
        <v>0.59299999999999997</v>
      </c>
    </row>
    <row r="33" spans="1:33">
      <c r="B33" s="24" t="s">
        <v>68</v>
      </c>
      <c r="C33" s="60" t="s">
        <v>54</v>
      </c>
      <c r="D33" s="81">
        <v>0.43</v>
      </c>
      <c r="E33" s="81">
        <v>0.17699999999999999</v>
      </c>
      <c r="F33" s="81">
        <v>0.187</v>
      </c>
      <c r="G33" s="123">
        <v>0.18</v>
      </c>
      <c r="H33" s="123">
        <v>0.20499999999999999</v>
      </c>
      <c r="I33" s="123">
        <v>0.129</v>
      </c>
      <c r="J33" s="123">
        <v>0.16600000000000001</v>
      </c>
      <c r="K33" s="123">
        <v>0.15</v>
      </c>
      <c r="L33" s="123">
        <v>0.153</v>
      </c>
      <c r="M33" s="123">
        <v>0.13100000000000001</v>
      </c>
      <c r="N33" s="123">
        <v>9.1999999999999998E-2</v>
      </c>
      <c r="O33" s="123">
        <v>0.14799999999999999</v>
      </c>
      <c r="P33" s="123">
        <v>0.16</v>
      </c>
      <c r="Q33" s="123">
        <v>0.28299999999999997</v>
      </c>
      <c r="R33" s="123">
        <v>0.14799999999999999</v>
      </c>
      <c r="S33" s="123">
        <v>0.318</v>
      </c>
      <c r="T33" s="123">
        <v>0.123</v>
      </c>
      <c r="U33" s="123">
        <v>0.105</v>
      </c>
      <c r="V33" s="123">
        <v>0.13200000000000001</v>
      </c>
      <c r="W33" s="123">
        <v>0.16600000000000001</v>
      </c>
      <c r="X33" s="123">
        <v>0.22600000000000001</v>
      </c>
      <c r="Y33" s="123">
        <v>0.41299999999999998</v>
      </c>
      <c r="Z33" s="123">
        <v>0.12</v>
      </c>
      <c r="AA33" s="123">
        <v>0.13300000000000001</v>
      </c>
      <c r="AB33" s="123">
        <v>9.8000000000000004E-2</v>
      </c>
      <c r="AC33" s="123">
        <v>0.09</v>
      </c>
      <c r="AD33" s="123">
        <v>6.8000000000000005E-2</v>
      </c>
      <c r="AE33" s="123">
        <v>0.156</v>
      </c>
      <c r="AF33" s="123">
        <v>7.2999999999999995E-2</v>
      </c>
      <c r="AG33" s="123">
        <v>9.9000000000000005E-2</v>
      </c>
    </row>
    <row r="34" spans="1:33">
      <c r="B34" s="24" t="s">
        <v>69</v>
      </c>
      <c r="C34" s="60" t="s">
        <v>54</v>
      </c>
      <c r="D34" s="81">
        <v>1.802</v>
      </c>
      <c r="E34" s="81">
        <v>0.88</v>
      </c>
      <c r="F34" s="81">
        <v>0.54800000000000004</v>
      </c>
      <c r="G34" s="123">
        <v>1.8320000000000001</v>
      </c>
      <c r="H34" s="123">
        <v>2.766</v>
      </c>
      <c r="I34" s="123">
        <v>1.2629999999999999</v>
      </c>
      <c r="J34" s="123">
        <v>0.81599999999999995</v>
      </c>
      <c r="K34" s="123">
        <v>1.403</v>
      </c>
      <c r="L34" s="123">
        <v>0.78600000000000003</v>
      </c>
      <c r="M34" s="123">
        <v>1.488</v>
      </c>
      <c r="N34" s="123">
        <v>1.581</v>
      </c>
      <c r="O34" s="123">
        <v>1.27</v>
      </c>
      <c r="P34" s="123">
        <v>0.72799999999999998</v>
      </c>
      <c r="Q34" s="123">
        <v>1.1910000000000001</v>
      </c>
      <c r="R34" s="123">
        <v>1.7370000000000001</v>
      </c>
      <c r="S34" s="123">
        <v>1.5469999999999999</v>
      </c>
      <c r="T34" s="123">
        <v>1.028</v>
      </c>
      <c r="U34" s="123">
        <v>1.601</v>
      </c>
      <c r="V34" s="123">
        <v>1.357</v>
      </c>
      <c r="W34" s="123">
        <v>1.857</v>
      </c>
      <c r="X34" s="123">
        <v>1.367</v>
      </c>
      <c r="Y34" s="123">
        <v>4.43</v>
      </c>
      <c r="Z34" s="123">
        <v>0.96</v>
      </c>
      <c r="AA34" s="123">
        <v>0.82299999999999995</v>
      </c>
      <c r="AB34" s="123">
        <v>1.2050000000000001</v>
      </c>
      <c r="AC34" s="123">
        <v>0.90700000000000003</v>
      </c>
      <c r="AD34" s="123">
        <v>1.2749999999999999</v>
      </c>
      <c r="AE34" s="123">
        <v>0.997</v>
      </c>
      <c r="AF34" s="123">
        <v>0.26700000000000002</v>
      </c>
      <c r="AG34" s="123">
        <v>0.72399999999999998</v>
      </c>
    </row>
    <row r="35" spans="1:33">
      <c r="A35" s="25"/>
      <c r="B35" s="26" t="s">
        <v>70</v>
      </c>
      <c r="C35" s="62" t="s">
        <v>54</v>
      </c>
      <c r="D35" s="81">
        <v>58.863</v>
      </c>
      <c r="E35" s="81">
        <v>56.033000000000001</v>
      </c>
      <c r="F35" s="81">
        <v>58.234000000000002</v>
      </c>
      <c r="G35" s="127">
        <v>56.671999999999997</v>
      </c>
      <c r="H35" s="127">
        <v>59.491999999999997</v>
      </c>
      <c r="I35" s="127">
        <v>49.594999999999999</v>
      </c>
      <c r="J35" s="127">
        <v>42.499000000000002</v>
      </c>
      <c r="K35" s="127">
        <v>45.454999999999998</v>
      </c>
      <c r="L35" s="127">
        <v>43.860999999999997</v>
      </c>
      <c r="M35" s="127">
        <v>43.540999999999997</v>
      </c>
      <c r="N35" s="127">
        <v>43.39</v>
      </c>
      <c r="O35" s="127">
        <v>42.323</v>
      </c>
      <c r="P35" s="127">
        <v>44.41</v>
      </c>
      <c r="Q35" s="127">
        <v>52.4</v>
      </c>
      <c r="R35" s="127">
        <v>48.877000000000002</v>
      </c>
      <c r="S35" s="127">
        <v>67.347999999999999</v>
      </c>
      <c r="T35" s="127">
        <v>60.515000000000001</v>
      </c>
      <c r="U35" s="127">
        <v>53.99</v>
      </c>
      <c r="V35" s="127">
        <v>45.771999999999998</v>
      </c>
      <c r="W35" s="127">
        <v>47.844000000000001</v>
      </c>
      <c r="X35" s="127">
        <v>47.012</v>
      </c>
      <c r="Y35" s="127">
        <v>158.69</v>
      </c>
      <c r="Z35" s="127">
        <v>42.844999999999999</v>
      </c>
      <c r="AA35" s="127">
        <v>41.688000000000002</v>
      </c>
      <c r="AB35" s="127">
        <v>39.725999999999999</v>
      </c>
      <c r="AC35" s="127">
        <v>39.026000000000003</v>
      </c>
      <c r="AD35" s="127">
        <v>38.314999999999998</v>
      </c>
      <c r="AE35" s="127">
        <v>40.588999999999999</v>
      </c>
      <c r="AF35" s="127">
        <v>46.088000000000001</v>
      </c>
      <c r="AG35" s="127">
        <v>42.289000000000001</v>
      </c>
    </row>
    <row r="36" spans="1:33" ht="35.25" customHeight="1">
      <c r="D36" s="167" t="s">
        <v>405</v>
      </c>
      <c r="E36" s="167"/>
      <c r="F36" s="167"/>
      <c r="G36" s="167"/>
      <c r="H36" s="167"/>
      <c r="I36" s="167"/>
      <c r="J36" s="167"/>
      <c r="K36" s="167"/>
      <c r="L36" s="167"/>
      <c r="M36" s="167"/>
      <c r="N36" s="167"/>
      <c r="O36" s="167"/>
      <c r="P36" s="167"/>
      <c r="Q36" s="167"/>
      <c r="R36" s="167"/>
      <c r="S36" s="167"/>
      <c r="T36" s="167"/>
      <c r="U36" s="167"/>
      <c r="V36" s="167"/>
      <c r="W36" s="167"/>
      <c r="X36" s="167"/>
      <c r="Y36" s="167"/>
      <c r="Z36" s="167"/>
      <c r="AA36" s="167"/>
      <c r="AB36" s="167"/>
      <c r="AC36" s="167"/>
      <c r="AD36" s="167"/>
      <c r="AE36" s="167"/>
      <c r="AF36" s="167"/>
      <c r="AG36" s="167"/>
    </row>
    <row r="37" spans="1:33">
      <c r="A37" t="s">
        <v>2</v>
      </c>
    </row>
    <row r="38" spans="1:33">
      <c r="A38" t="s">
        <v>2</v>
      </c>
    </row>
    <row r="39" spans="1:33">
      <c r="A39" t="s">
        <v>2</v>
      </c>
    </row>
    <row r="40" spans="1:33">
      <c r="A40" t="s">
        <v>2</v>
      </c>
    </row>
    <row r="41" spans="1:33">
      <c r="A41" t="s">
        <v>2</v>
      </c>
    </row>
    <row r="42" spans="1:33">
      <c r="A42" t="s">
        <v>2</v>
      </c>
    </row>
    <row r="43" spans="1:33">
      <c r="A43" t="s">
        <v>2</v>
      </c>
    </row>
    <row r="44" spans="1:33">
      <c r="A44" t="s">
        <v>2</v>
      </c>
    </row>
    <row r="45" spans="1:33">
      <c r="A45" t="s">
        <v>2</v>
      </c>
    </row>
  </sheetData>
  <mergeCells count="2">
    <mergeCell ref="A2:AA2"/>
    <mergeCell ref="D36:AG36"/>
  </mergeCells>
  <phoneticPr fontId="14" type="noConversion"/>
  <conditionalFormatting sqref="D5:AG35">
    <cfRule type="cellIs" dxfId="14" priority="1"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5C703-2940-4BD9-AA2F-1718EDEB2EEF}">
  <dimension ref="A1:Y21"/>
  <sheetViews>
    <sheetView topLeftCell="I2" zoomScale="130" zoomScaleNormal="130" workbookViewId="0">
      <selection activeCell="A13" sqref="A13:N13"/>
    </sheetView>
  </sheetViews>
  <sheetFormatPr defaultColWidth="9.26953125" defaultRowHeight="14.5"/>
  <cols>
    <col min="1" max="1" width="3" customWidth="1"/>
    <col min="2" max="2" width="54.7265625" customWidth="1"/>
    <col min="3" max="3" width="4.7265625" bestFit="1" customWidth="1"/>
    <col min="4" max="22" width="7" bestFit="1" customWidth="1"/>
    <col min="23" max="23" width="7.26953125" customWidth="1"/>
    <col min="24" max="25" width="6.81640625" customWidth="1"/>
    <col min="26" max="26" width="9" customWidth="1"/>
  </cols>
  <sheetData>
    <row r="1" spans="1:25" ht="71.25" customHeight="1">
      <c r="A1" t="s">
        <v>2</v>
      </c>
    </row>
    <row r="2" spans="1:25" ht="21">
      <c r="A2" s="162" t="s">
        <v>223</v>
      </c>
      <c r="B2" s="162"/>
      <c r="C2" s="162"/>
      <c r="D2" s="162"/>
      <c r="E2" s="162"/>
      <c r="F2" s="162"/>
      <c r="G2" s="162"/>
      <c r="H2" s="162"/>
      <c r="I2" s="162"/>
      <c r="J2" s="162"/>
      <c r="K2" s="162"/>
      <c r="L2" s="162"/>
      <c r="M2" s="162"/>
      <c r="N2" s="162"/>
      <c r="O2" s="162"/>
      <c r="P2" s="162"/>
      <c r="Q2" s="162"/>
      <c r="R2" s="162"/>
      <c r="S2" s="162"/>
      <c r="T2" s="162"/>
      <c r="U2" s="162"/>
      <c r="V2" s="162"/>
      <c r="W2" s="162"/>
      <c r="X2" s="162"/>
    </row>
    <row r="3" spans="1:25" s="21" customFormat="1" ht="16.5" customHeight="1">
      <c r="A3" s="64" t="s">
        <v>38</v>
      </c>
      <c r="B3" s="64" t="s">
        <v>38</v>
      </c>
      <c r="C3" s="66" t="s">
        <v>37</v>
      </c>
      <c r="D3" s="64" t="s">
        <v>297</v>
      </c>
      <c r="E3" s="64" t="s">
        <v>298</v>
      </c>
      <c r="F3" s="64" t="s">
        <v>299</v>
      </c>
      <c r="G3" s="64" t="s">
        <v>300</v>
      </c>
      <c r="H3" s="64" t="s">
        <v>281</v>
      </c>
      <c r="I3" s="64" t="s">
        <v>282</v>
      </c>
      <c r="J3" s="64" t="s">
        <v>283</v>
      </c>
      <c r="K3" s="64" t="s">
        <v>284</v>
      </c>
      <c r="L3" s="64" t="s">
        <v>285</v>
      </c>
      <c r="M3" s="64" t="s">
        <v>286</v>
      </c>
      <c r="N3" s="64" t="s">
        <v>287</v>
      </c>
      <c r="O3" s="64" t="s">
        <v>288</v>
      </c>
      <c r="P3" s="64" t="s">
        <v>289</v>
      </c>
      <c r="Q3" s="64" t="s">
        <v>290</v>
      </c>
      <c r="R3" s="64" t="s">
        <v>291</v>
      </c>
      <c r="S3" s="64" t="s">
        <v>292</v>
      </c>
      <c r="T3" s="64" t="s">
        <v>293</v>
      </c>
      <c r="U3" s="64" t="s">
        <v>294</v>
      </c>
      <c r="V3" s="64" t="s">
        <v>295</v>
      </c>
      <c r="W3" s="64" t="s">
        <v>305</v>
      </c>
      <c r="X3" s="64" t="s">
        <v>313</v>
      </c>
      <c r="Y3" s="64" t="s">
        <v>331</v>
      </c>
    </row>
    <row r="4" spans="1:25">
      <c r="A4" s="22" t="s">
        <v>222</v>
      </c>
      <c r="C4" s="61"/>
      <c r="D4" s="82"/>
      <c r="E4" s="82"/>
      <c r="F4" s="82"/>
      <c r="G4" s="82"/>
      <c r="H4" s="82"/>
      <c r="I4" s="82"/>
      <c r="J4" s="82"/>
      <c r="K4" s="82"/>
      <c r="L4" s="82"/>
      <c r="M4" s="82"/>
      <c r="N4" s="82"/>
      <c r="O4" s="82"/>
      <c r="P4" s="82"/>
      <c r="Q4" s="82"/>
      <c r="R4" s="82"/>
      <c r="S4" s="82"/>
      <c r="T4" s="82"/>
      <c r="U4" s="82"/>
      <c r="V4" s="82"/>
      <c r="W4" s="82"/>
    </row>
    <row r="5" spans="1:25">
      <c r="B5" s="24" t="s">
        <v>38</v>
      </c>
      <c r="C5" s="60" t="s">
        <v>52</v>
      </c>
      <c r="D5" s="82">
        <v>1916.5239999999999</v>
      </c>
      <c r="E5" s="82">
        <v>1951.27089</v>
      </c>
      <c r="F5" s="82">
        <v>2140.8352599999998</v>
      </c>
      <c r="G5" s="82">
        <v>2533.3335299999999</v>
      </c>
      <c r="H5" s="82">
        <v>2730.0063700000001</v>
      </c>
      <c r="I5" s="82">
        <v>3038.1118070000002</v>
      </c>
      <c r="J5" s="82">
        <v>2993.7415329999999</v>
      </c>
      <c r="K5" s="82">
        <v>3203.9453400000002</v>
      </c>
      <c r="L5" s="82">
        <v>3100.8854958878501</v>
      </c>
      <c r="M5" s="82">
        <v>3181.5809628878501</v>
      </c>
      <c r="N5" s="82">
        <v>3141.9321340000001</v>
      </c>
      <c r="O5" s="82">
        <v>3108.3113010000002</v>
      </c>
      <c r="P5" s="82">
        <v>3081.7801100000001</v>
      </c>
      <c r="Q5" s="82">
        <v>3124.154188</v>
      </c>
      <c r="R5" s="82">
        <v>3139.2483499999998</v>
      </c>
      <c r="S5" s="82">
        <v>3064.6598199999999</v>
      </c>
      <c r="T5" s="99">
        <v>2919.1555859999999</v>
      </c>
      <c r="U5" s="99">
        <v>2798.429087</v>
      </c>
      <c r="V5" s="99">
        <v>2757.3834200000001</v>
      </c>
      <c r="W5" s="99">
        <v>2725.2031010000001</v>
      </c>
      <c r="X5" s="99">
        <v>2692.56441</v>
      </c>
      <c r="Y5" s="99">
        <v>2253.3652360000001</v>
      </c>
    </row>
    <row r="6" spans="1:25">
      <c r="A6" t="s">
        <v>2</v>
      </c>
      <c r="C6" s="61"/>
      <c r="D6" s="82"/>
      <c r="E6" s="82"/>
      <c r="F6" s="82"/>
      <c r="G6" s="82"/>
      <c r="H6" s="82"/>
      <c r="I6" s="82"/>
      <c r="J6" s="82"/>
      <c r="K6" s="82"/>
      <c r="L6" s="82"/>
      <c r="M6" s="82"/>
      <c r="N6" s="82"/>
      <c r="O6" s="82"/>
      <c r="P6" s="82"/>
      <c r="Q6" s="82"/>
      <c r="R6" s="82"/>
      <c r="S6" s="82"/>
      <c r="T6" s="82"/>
      <c r="U6" s="82"/>
      <c r="V6" s="82"/>
      <c r="W6" s="82"/>
      <c r="X6" s="82"/>
      <c r="Y6" s="82"/>
    </row>
    <row r="7" spans="1:25">
      <c r="A7" s="23" t="s">
        <v>187</v>
      </c>
      <c r="C7" s="61"/>
      <c r="D7" s="82"/>
      <c r="E7" s="82"/>
      <c r="F7" s="82"/>
      <c r="G7" s="82"/>
      <c r="H7" s="82"/>
      <c r="I7" s="82"/>
      <c r="J7" s="82"/>
      <c r="K7" s="82"/>
      <c r="L7" s="82"/>
      <c r="M7" s="82"/>
      <c r="N7" s="82"/>
      <c r="O7" s="82"/>
      <c r="P7" s="82"/>
      <c r="Q7" s="82"/>
      <c r="R7" s="82"/>
      <c r="S7" s="82"/>
      <c r="T7" s="82"/>
      <c r="U7" s="82"/>
      <c r="V7" s="82"/>
      <c r="W7" s="82"/>
      <c r="X7" s="82"/>
      <c r="Y7" s="82"/>
    </row>
    <row r="8" spans="1:25">
      <c r="B8" s="24" t="s">
        <v>188</v>
      </c>
      <c r="C8" s="60" t="s">
        <v>52</v>
      </c>
      <c r="D8" s="82">
        <v>297.69099999999997</v>
      </c>
      <c r="E8" s="82">
        <v>343.36900000000003</v>
      </c>
      <c r="F8" s="82">
        <v>650.32799999999997</v>
      </c>
      <c r="G8" s="82">
        <v>906.80200000000002</v>
      </c>
      <c r="H8" s="82">
        <v>1059.914</v>
      </c>
      <c r="I8" s="82">
        <v>1285.8576399999999</v>
      </c>
      <c r="J8" s="82">
        <v>1215.894055</v>
      </c>
      <c r="K8" s="82">
        <v>1445.35625</v>
      </c>
      <c r="L8" s="82">
        <v>1322.72523</v>
      </c>
      <c r="M8" s="82">
        <v>1402.5276200000001</v>
      </c>
      <c r="N8" s="82">
        <v>1505.6330599999999</v>
      </c>
      <c r="O8" s="82">
        <v>1448.94993</v>
      </c>
      <c r="P8" s="82">
        <v>1396.6598200000001</v>
      </c>
      <c r="Q8" s="82">
        <v>1419.61347</v>
      </c>
      <c r="R8" s="82">
        <v>1353.9548400000001</v>
      </c>
      <c r="S8" s="82">
        <v>1273.5914399999999</v>
      </c>
      <c r="T8" s="99">
        <v>1085.87381</v>
      </c>
      <c r="U8" s="99">
        <v>1047.0104899999999</v>
      </c>
      <c r="V8" s="99">
        <v>1026.56107</v>
      </c>
      <c r="W8" s="99">
        <v>1052.87183</v>
      </c>
      <c r="X8" s="99">
        <v>977.90497000000005</v>
      </c>
      <c r="Y8" s="99">
        <v>1000.44595</v>
      </c>
    </row>
    <row r="9" spans="1:25">
      <c r="B9" s="24" t="s">
        <v>189</v>
      </c>
      <c r="C9" s="60" t="s">
        <v>52</v>
      </c>
      <c r="D9" s="82">
        <v>35.167000000000002</v>
      </c>
      <c r="E9" s="82">
        <v>22.098109999999998</v>
      </c>
      <c r="F9" s="82">
        <v>55.80274</v>
      </c>
      <c r="G9" s="82">
        <v>7.4284699999999999</v>
      </c>
      <c r="H9" s="82">
        <v>57.58663</v>
      </c>
      <c r="I9" s="82">
        <v>10.162832999999999</v>
      </c>
      <c r="J9" s="82">
        <v>2.9745219999999999</v>
      </c>
      <c r="K9" s="82">
        <v>3.3849100000000001</v>
      </c>
      <c r="L9" s="82">
        <v>2.0186500000000001</v>
      </c>
      <c r="M9" s="82">
        <v>2.6455730000000002</v>
      </c>
      <c r="N9" s="82">
        <v>3.7009259999999999</v>
      </c>
      <c r="O9" s="82">
        <v>4.6386289999999999</v>
      </c>
      <c r="P9" s="82">
        <v>3.8797100000000002</v>
      </c>
      <c r="Q9" s="82">
        <v>1.459282</v>
      </c>
      <c r="R9" s="82">
        <v>1.7064900000000001</v>
      </c>
      <c r="S9" s="82">
        <v>0.93162</v>
      </c>
      <c r="T9" s="99">
        <v>4.7182240000000002</v>
      </c>
      <c r="U9" s="99">
        <v>1.2125699999999999</v>
      </c>
      <c r="V9" s="99">
        <v>1.1776500000000001</v>
      </c>
      <c r="W9" s="99">
        <v>18.784829999999999</v>
      </c>
      <c r="X9" s="99">
        <v>5.34056</v>
      </c>
      <c r="Y9" s="99">
        <v>3.080714</v>
      </c>
    </row>
    <row r="10" spans="1:25">
      <c r="B10" s="24" t="s">
        <v>190</v>
      </c>
      <c r="C10" s="60" t="s">
        <v>52</v>
      </c>
      <c r="D10" s="89">
        <v>-262.524</v>
      </c>
      <c r="E10" s="89">
        <v>-321.27089000000001</v>
      </c>
      <c r="F10" s="89">
        <v>-594.52526</v>
      </c>
      <c r="G10" s="89">
        <v>-899.37352999999996</v>
      </c>
      <c r="H10" s="89">
        <v>-1002.32737</v>
      </c>
      <c r="I10" s="89">
        <v>-1275.6948070000001</v>
      </c>
      <c r="J10" s="89">
        <v>-1212.919533</v>
      </c>
      <c r="K10" s="89">
        <v>-1441.9713400000001</v>
      </c>
      <c r="L10" s="89">
        <v>-1320.70658</v>
      </c>
      <c r="M10" s="89">
        <v>-1399.8820470000001</v>
      </c>
      <c r="N10" s="89">
        <v>-1501.9321339999999</v>
      </c>
      <c r="O10" s="89">
        <v>-1444.311301</v>
      </c>
      <c r="P10" s="89">
        <v>-1392.7801099999999</v>
      </c>
      <c r="Q10" s="89">
        <v>-1418.154188</v>
      </c>
      <c r="R10" s="89">
        <v>-1352.2483500000001</v>
      </c>
      <c r="S10" s="89">
        <v>-1272.6598200000001</v>
      </c>
      <c r="T10" s="99">
        <v>-1081.1555860000001</v>
      </c>
      <c r="U10" s="99">
        <v>-1045.79792</v>
      </c>
      <c r="V10" s="99">
        <v>-1025.3834199999999</v>
      </c>
      <c r="W10" s="99">
        <v>-1034.087</v>
      </c>
      <c r="X10" s="99">
        <v>-972.56440999999995</v>
      </c>
      <c r="Y10" s="99">
        <v>-997.36523599999998</v>
      </c>
    </row>
    <row r="11" spans="1:25">
      <c r="A11" t="s">
        <v>2</v>
      </c>
      <c r="C11" s="61"/>
      <c r="D11" s="73"/>
      <c r="E11" s="73"/>
      <c r="F11" s="73"/>
      <c r="G11" s="73"/>
      <c r="H11" s="73"/>
      <c r="I11" s="73"/>
      <c r="J11" s="73"/>
      <c r="K11" s="73"/>
      <c r="L11" s="73"/>
      <c r="M11" s="73"/>
      <c r="N11" s="73"/>
      <c r="O11" s="73"/>
      <c r="P11" s="73"/>
      <c r="Q11" s="73"/>
      <c r="R11" s="73"/>
      <c r="S11" s="73"/>
      <c r="T11" s="73"/>
      <c r="U11" s="73"/>
      <c r="V11" s="73"/>
      <c r="W11" s="73"/>
      <c r="X11" s="73"/>
      <c r="Y11" s="73"/>
    </row>
    <row r="12" spans="1:25">
      <c r="C12" s="61"/>
      <c r="D12" s="73"/>
      <c r="E12" s="73"/>
      <c r="F12" s="73"/>
      <c r="G12" s="73"/>
      <c r="H12" s="73"/>
      <c r="I12" s="73"/>
      <c r="J12" s="73"/>
      <c r="K12" s="73"/>
      <c r="L12" s="73"/>
      <c r="M12" s="73"/>
      <c r="N12" s="73"/>
      <c r="O12" s="73"/>
      <c r="P12" s="73"/>
      <c r="Q12" s="73"/>
      <c r="R12" s="73"/>
      <c r="S12" s="73"/>
      <c r="T12" s="73"/>
      <c r="U12" s="73"/>
      <c r="V12" s="73"/>
      <c r="W12" s="73"/>
      <c r="X12" s="73"/>
      <c r="Y12" s="73"/>
    </row>
    <row r="13" spans="1:25">
      <c r="A13" s="23" t="s">
        <v>191</v>
      </c>
      <c r="B13" s="37"/>
      <c r="C13" s="60" t="s">
        <v>52</v>
      </c>
      <c r="D13" s="82">
        <v>1654</v>
      </c>
      <c r="E13" s="82">
        <v>1630</v>
      </c>
      <c r="F13" s="82">
        <v>1546.31</v>
      </c>
      <c r="G13" s="82">
        <v>1633.96</v>
      </c>
      <c r="H13" s="82">
        <v>1727.6790000000001</v>
      </c>
      <c r="I13" s="82">
        <v>1762.4169999999999</v>
      </c>
      <c r="J13" s="82">
        <v>1780.8219999999999</v>
      </c>
      <c r="K13" s="82">
        <v>1761.9739999999999</v>
      </c>
      <c r="L13" s="82">
        <v>1780.1789158878501</v>
      </c>
      <c r="M13" s="82">
        <v>1781.69891588785</v>
      </c>
      <c r="N13" s="82">
        <v>1640</v>
      </c>
      <c r="O13" s="82">
        <v>1664</v>
      </c>
      <c r="P13" s="82">
        <v>1689</v>
      </c>
      <c r="Q13" s="82">
        <v>1706</v>
      </c>
      <c r="R13" s="82">
        <v>1787</v>
      </c>
      <c r="S13" s="82">
        <v>1792</v>
      </c>
      <c r="T13" s="99">
        <v>1838</v>
      </c>
      <c r="U13" s="99">
        <v>1752.631167</v>
      </c>
      <c r="V13" s="99">
        <v>1732</v>
      </c>
      <c r="W13" s="99">
        <v>1691.1161010000001</v>
      </c>
      <c r="X13" s="99">
        <v>1720</v>
      </c>
      <c r="Y13" s="99">
        <v>1256</v>
      </c>
    </row>
    <row r="14" spans="1:25">
      <c r="A14" t="s">
        <v>2</v>
      </c>
      <c r="C14" s="61"/>
      <c r="D14" s="82"/>
      <c r="E14" s="82"/>
      <c r="F14" s="82"/>
      <c r="G14" s="82"/>
      <c r="H14" s="82"/>
      <c r="I14" s="82"/>
      <c r="J14" s="82"/>
      <c r="K14" s="82"/>
      <c r="L14" s="82"/>
      <c r="M14" s="82"/>
      <c r="N14" s="82"/>
      <c r="O14" s="82"/>
      <c r="P14" s="82"/>
      <c r="Q14" s="82"/>
      <c r="R14" s="82"/>
      <c r="S14" s="82"/>
      <c r="T14" s="82"/>
      <c r="U14" s="82"/>
      <c r="V14" s="82"/>
      <c r="W14" s="82"/>
      <c r="X14" s="82"/>
      <c r="Y14" s="82"/>
    </row>
    <row r="15" spans="1:25">
      <c r="C15" s="61"/>
      <c r="D15" s="82"/>
      <c r="E15" s="82"/>
      <c r="F15" s="82"/>
      <c r="G15" s="82"/>
      <c r="H15" s="82"/>
      <c r="I15" s="82"/>
      <c r="J15" s="82"/>
      <c r="K15" s="82"/>
      <c r="L15" s="82"/>
      <c r="M15" s="82"/>
      <c r="N15" s="82"/>
      <c r="O15" s="82"/>
      <c r="P15" s="82"/>
      <c r="Q15" s="82"/>
      <c r="R15" s="82"/>
      <c r="S15" s="82"/>
      <c r="T15" s="82"/>
      <c r="U15" s="82"/>
    </row>
    <row r="16" spans="1:25">
      <c r="A16" s="23" t="s">
        <v>192</v>
      </c>
      <c r="B16" s="24"/>
      <c r="C16" s="60" t="s">
        <v>52</v>
      </c>
      <c r="D16" s="82">
        <v>3061</v>
      </c>
      <c r="E16" s="82">
        <v>3164</v>
      </c>
      <c r="F16" s="82">
        <v>3244</v>
      </c>
      <c r="G16" s="82">
        <v>3207</v>
      </c>
      <c r="H16" s="82">
        <v>3201</v>
      </c>
      <c r="I16" s="82">
        <v>3278</v>
      </c>
      <c r="J16" s="82">
        <v>3275</v>
      </c>
      <c r="K16" s="82">
        <v>3013.3319999999999</v>
      </c>
      <c r="L16" s="82">
        <v>3154.8969999999999</v>
      </c>
      <c r="M16" s="82">
        <v>3191.1</v>
      </c>
      <c r="N16" s="82">
        <v>3016</v>
      </c>
      <c r="O16" s="82">
        <v>3037</v>
      </c>
      <c r="P16" s="82">
        <v>3142</v>
      </c>
      <c r="Q16" s="82">
        <v>3224</v>
      </c>
      <c r="R16" s="82">
        <v>3235</v>
      </c>
      <c r="S16" s="82">
        <v>3225.1072469999999</v>
      </c>
      <c r="T16" s="99">
        <v>3212.698911</v>
      </c>
      <c r="U16" s="99">
        <v>3056.1640000000002</v>
      </c>
      <c r="V16" s="99">
        <v>2951.1206999999999</v>
      </c>
      <c r="W16" s="99">
        <v>3015.6866060000002</v>
      </c>
      <c r="X16" s="99">
        <v>2867</v>
      </c>
      <c r="Y16" s="99">
        <v>2581</v>
      </c>
    </row>
    <row r="17" spans="1:25">
      <c r="A17" t="s">
        <v>2</v>
      </c>
      <c r="C17" s="61"/>
      <c r="D17" s="82"/>
      <c r="E17" s="82"/>
      <c r="F17" s="82"/>
      <c r="G17" s="82"/>
      <c r="H17" s="82"/>
      <c r="I17" s="82"/>
      <c r="J17" s="82"/>
      <c r="K17" s="82"/>
      <c r="L17" s="82"/>
      <c r="M17" s="82"/>
      <c r="N17" s="82"/>
      <c r="O17" s="82"/>
      <c r="P17" s="82"/>
      <c r="Q17" s="82"/>
      <c r="R17" s="82"/>
      <c r="S17" s="82"/>
      <c r="T17" s="82"/>
      <c r="U17" s="82"/>
    </row>
    <row r="18" spans="1:25">
      <c r="C18" s="61"/>
      <c r="D18" s="82"/>
      <c r="E18" s="82"/>
      <c r="F18" s="82"/>
      <c r="G18" s="82"/>
      <c r="H18" s="82"/>
      <c r="I18" s="82"/>
      <c r="J18" s="82"/>
      <c r="K18" s="82"/>
      <c r="L18" s="82"/>
      <c r="M18" s="82"/>
      <c r="N18" s="82"/>
      <c r="O18" s="82"/>
      <c r="P18" s="82"/>
      <c r="Q18" s="82"/>
      <c r="R18" s="82"/>
      <c r="S18" s="82"/>
      <c r="T18" s="82"/>
      <c r="U18" s="82"/>
      <c r="V18" s="82"/>
      <c r="W18" s="82"/>
      <c r="X18" s="82"/>
      <c r="Y18" s="82"/>
    </row>
    <row r="19" spans="1:25">
      <c r="A19" s="36" t="s">
        <v>221</v>
      </c>
      <c r="B19" s="24"/>
      <c r="C19" s="60" t="s">
        <v>133</v>
      </c>
      <c r="D19" s="87">
        <v>0.54034629206141782</v>
      </c>
      <c r="E19" s="87">
        <v>0.51517067003792671</v>
      </c>
      <c r="F19" s="87">
        <v>0.47666769420468552</v>
      </c>
      <c r="G19" s="87">
        <v>0.50949797318366075</v>
      </c>
      <c r="H19" s="87">
        <v>0.5397310215557638</v>
      </c>
      <c r="I19" s="87">
        <v>0.53765009151921905</v>
      </c>
      <c r="J19" s="87">
        <v>0.5437624427480916</v>
      </c>
      <c r="K19" s="87">
        <v>0.58472614368413434</v>
      </c>
      <c r="L19" s="87">
        <v>0.5642589649956401</v>
      </c>
      <c r="M19" s="87">
        <v>0.55833377703232434</v>
      </c>
      <c r="N19" s="87">
        <v>0.54376657824933683</v>
      </c>
      <c r="O19" s="87">
        <v>0.54790912084293708</v>
      </c>
      <c r="P19" s="87">
        <v>0.53755569700827499</v>
      </c>
      <c r="Q19" s="87">
        <v>0.52915632754342434</v>
      </c>
      <c r="R19" s="87">
        <v>0.55239567233384856</v>
      </c>
      <c r="S19" s="87">
        <v>0.55564043697056009</v>
      </c>
      <c r="T19" s="87">
        <f>5721.04654347424%/100</f>
        <v>0.57210465434742408</v>
      </c>
      <c r="U19" s="87">
        <f>5734.74187576321%/100</f>
        <v>0.57347418757632107</v>
      </c>
      <c r="V19" s="87">
        <f>5868.95683392414%/100</f>
        <v>0.58689568339241394</v>
      </c>
      <c r="W19" s="87">
        <f>5607.7315780604%/100</f>
        <v>0.56077315780603998</v>
      </c>
      <c r="X19" s="87">
        <f>5999.3024066969%/100</f>
        <v>0.59993024066969003</v>
      </c>
      <c r="Y19" s="106">
        <f>'[1]22 Rec paper'!$AI$28/100</f>
        <v>0.48663308795040683</v>
      </c>
    </row>
    <row r="20" spans="1:25" ht="36" customHeight="1">
      <c r="A20" t="s">
        <v>2</v>
      </c>
      <c r="B20" s="38"/>
      <c r="C20" s="38"/>
      <c r="D20" s="174" t="s">
        <v>220</v>
      </c>
      <c r="E20" s="174"/>
      <c r="F20" s="174"/>
      <c r="G20" s="174"/>
      <c r="H20" s="174"/>
      <c r="I20" s="174"/>
      <c r="J20" s="174"/>
      <c r="K20" s="174"/>
      <c r="L20" s="174"/>
      <c r="M20" s="174"/>
      <c r="N20" s="174"/>
      <c r="O20" s="174"/>
      <c r="P20" s="174"/>
      <c r="Q20" s="174"/>
      <c r="R20" s="174"/>
      <c r="S20" s="174"/>
      <c r="T20" s="174"/>
      <c r="U20" s="174"/>
      <c r="V20" s="174"/>
      <c r="W20" s="174"/>
      <c r="X20" s="174"/>
      <c r="Y20" s="174"/>
    </row>
    <row r="21" spans="1:25">
      <c r="A21" t="s">
        <v>2</v>
      </c>
    </row>
  </sheetData>
  <mergeCells count="2">
    <mergeCell ref="A2:X2"/>
    <mergeCell ref="D20:Y20"/>
  </mergeCells>
  <phoneticPr fontId="14" type="noConversion"/>
  <conditionalFormatting sqref="D15:U15 D17:U17">
    <cfRule type="cellIs" dxfId="13" priority="13" operator="lessThan">
      <formula>0</formula>
    </cfRule>
  </conditionalFormatting>
  <conditionalFormatting sqref="D4:W4">
    <cfRule type="cellIs" dxfId="12" priority="11" operator="lessThan">
      <formula>0</formula>
    </cfRule>
  </conditionalFormatting>
  <conditionalFormatting sqref="D5:Y9">
    <cfRule type="cellIs" dxfId="11" priority="3" operator="lessThan">
      <formula>0</formula>
    </cfRule>
  </conditionalFormatting>
  <conditionalFormatting sqref="D13:Y14">
    <cfRule type="cellIs" dxfId="10" priority="2" operator="lessThan">
      <formula>0</formula>
    </cfRule>
  </conditionalFormatting>
  <conditionalFormatting sqref="D16:Y16">
    <cfRule type="cellIs" dxfId="9" priority="5" operator="lessThan">
      <formula>0</formula>
    </cfRule>
  </conditionalFormatting>
  <conditionalFormatting sqref="D18:Y19">
    <cfRule type="cellIs" dxfId="8" priority="1" operator="lessThan">
      <formula>0</formula>
    </cfRule>
  </conditionalFormatting>
  <pageMargins left="0.7" right="0.7" top="0.75" bottom="0.75" header="0.3" footer="0.3"/>
  <pageSetup paperSize="9" orientation="portrait" r:id="rId1"/>
  <headerFooter>
    <oddHeader>&amp;C&amp;"Calibri"&amp;12&amp;KFF0000 OFFICIAL&amp;1#_x000D_</oddHeader>
    <oddFooter>&amp;C_x000D_&amp;1#&amp;"Calibri"&amp;12&amp;KFF0000 OFFICIAL</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DF968-C5E9-46A5-9EF9-0C871DC8A6A8}">
  <dimension ref="A1:Z87"/>
  <sheetViews>
    <sheetView zoomScale="120" zoomScaleNormal="120" workbookViewId="0">
      <pane xSplit="4" ySplit="3" topLeftCell="Q79" activePane="bottomRight" state="frozen"/>
      <selection activeCell="A13" sqref="A13:N13"/>
      <selection pane="topRight" activeCell="A13" sqref="A13:N13"/>
      <selection pane="bottomLeft" activeCell="A13" sqref="A13:N13"/>
      <selection pane="bottomRight" activeCell="A13" sqref="A13:N13"/>
    </sheetView>
  </sheetViews>
  <sheetFormatPr defaultColWidth="9.26953125" defaultRowHeight="14.5"/>
  <cols>
    <col min="1" max="2" width="3" customWidth="1"/>
    <col min="3" max="3" width="24.54296875" bestFit="1" customWidth="1"/>
    <col min="4" max="4" width="6.1796875" customWidth="1"/>
    <col min="5" max="5" width="9" bestFit="1" customWidth="1"/>
    <col min="6" max="12" width="9.453125" bestFit="1" customWidth="1"/>
    <col min="13" max="13" width="9" bestFit="1" customWidth="1"/>
    <col min="14" max="15" width="8.81640625" bestFit="1" customWidth="1"/>
    <col min="16" max="16" width="8.7265625" bestFit="1" customWidth="1"/>
    <col min="17" max="19" width="8.81640625" bestFit="1" customWidth="1"/>
    <col min="20" max="21" width="8.7265625" bestFit="1" customWidth="1"/>
    <col min="22" max="26" width="8.7265625" customWidth="1"/>
    <col min="27" max="27" width="9" customWidth="1"/>
  </cols>
  <sheetData>
    <row r="1" spans="1:26" ht="71.25" customHeight="1">
      <c r="A1" t="s">
        <v>2</v>
      </c>
    </row>
    <row r="2" spans="1:26" ht="21">
      <c r="A2" s="162" t="s">
        <v>402</v>
      </c>
      <c r="B2" s="162"/>
      <c r="C2" s="162"/>
      <c r="D2" s="162"/>
      <c r="E2" s="162"/>
      <c r="F2" s="162"/>
      <c r="G2" s="162"/>
      <c r="H2" s="162"/>
      <c r="I2" s="162"/>
      <c r="J2" s="162"/>
      <c r="K2" s="162"/>
      <c r="L2" s="162"/>
      <c r="M2" s="162"/>
      <c r="N2" s="162"/>
      <c r="O2" s="162"/>
      <c r="P2" s="162"/>
      <c r="Q2" s="162"/>
      <c r="R2" s="162"/>
      <c r="S2" s="162"/>
      <c r="T2" s="162"/>
      <c r="U2" s="162"/>
      <c r="V2" s="162"/>
      <c r="W2" s="162"/>
      <c r="X2" s="162"/>
      <c r="Y2" s="162"/>
    </row>
    <row r="3" spans="1:26" s="21" customFormat="1" ht="16.5" customHeight="1">
      <c r="A3" s="68" t="s">
        <v>38</v>
      </c>
      <c r="B3" s="68" t="s">
        <v>38</v>
      </c>
      <c r="C3" s="68" t="s">
        <v>38</v>
      </c>
      <c r="D3" s="86" t="s">
        <v>37</v>
      </c>
      <c r="E3" s="69" t="s">
        <v>297</v>
      </c>
      <c r="F3" s="69" t="s">
        <v>298</v>
      </c>
      <c r="G3" s="69" t="s">
        <v>299</v>
      </c>
      <c r="H3" s="69" t="s">
        <v>300</v>
      </c>
      <c r="I3" s="69" t="s">
        <v>281</v>
      </c>
      <c r="J3" s="69" t="s">
        <v>282</v>
      </c>
      <c r="K3" s="69" t="s">
        <v>283</v>
      </c>
      <c r="L3" s="69" t="s">
        <v>284</v>
      </c>
      <c r="M3" s="69" t="s">
        <v>285</v>
      </c>
      <c r="N3" s="69" t="s">
        <v>286</v>
      </c>
      <c r="O3" s="69" t="s">
        <v>287</v>
      </c>
      <c r="P3" s="69" t="s">
        <v>288</v>
      </c>
      <c r="Q3" s="69" t="s">
        <v>289</v>
      </c>
      <c r="R3" s="69" t="s">
        <v>290</v>
      </c>
      <c r="S3" s="69" t="s">
        <v>291</v>
      </c>
      <c r="T3" s="69" t="s">
        <v>292</v>
      </c>
      <c r="U3" s="69" t="s">
        <v>293</v>
      </c>
      <c r="V3" s="69" t="s">
        <v>294</v>
      </c>
      <c r="W3" s="69" t="s">
        <v>295</v>
      </c>
      <c r="X3" s="69" t="s">
        <v>305</v>
      </c>
      <c r="Y3" s="69" t="s">
        <v>313</v>
      </c>
      <c r="Z3" s="69" t="s">
        <v>328</v>
      </c>
    </row>
    <row r="4" spans="1:26">
      <c r="A4" s="137" t="s">
        <v>193</v>
      </c>
      <c r="B4" s="138"/>
      <c r="C4" s="138"/>
    </row>
    <row r="5" spans="1:26">
      <c r="B5" s="137" t="s">
        <v>194</v>
      </c>
      <c r="C5" s="138"/>
      <c r="D5" s="142" t="s">
        <v>346</v>
      </c>
      <c r="E5" s="82">
        <v>2.2919999999999998</v>
      </c>
      <c r="F5" s="82">
        <v>1.71959</v>
      </c>
      <c r="G5" s="82">
        <v>1.3972599999999999</v>
      </c>
      <c r="H5" s="82">
        <v>0.61746000000000001</v>
      </c>
      <c r="I5" s="82">
        <v>4.9661299999999997</v>
      </c>
      <c r="J5" s="82">
        <v>0.68184</v>
      </c>
      <c r="K5" s="82">
        <v>1.3866259999999999</v>
      </c>
      <c r="L5" s="82">
        <v>0.91574</v>
      </c>
      <c r="M5" s="82">
        <v>0.57948999999999995</v>
      </c>
      <c r="N5" s="82">
        <v>1.0500700000000001</v>
      </c>
      <c r="O5" s="82">
        <v>1.2668900000000001</v>
      </c>
      <c r="P5" s="82">
        <v>0.62948000000000004</v>
      </c>
      <c r="Q5" s="82">
        <v>0.84372000000000003</v>
      </c>
      <c r="R5" s="82">
        <v>1.8096399999999999</v>
      </c>
      <c r="S5" s="82">
        <v>0.52942999999999996</v>
      </c>
      <c r="T5" s="82">
        <v>1.3487929999999999</v>
      </c>
      <c r="U5" s="82">
        <v>3.880531</v>
      </c>
      <c r="V5" s="82">
        <v>2.1616360000000001</v>
      </c>
      <c r="W5" s="82">
        <v>5.722969</v>
      </c>
      <c r="X5" s="82">
        <v>2.8661379999999999</v>
      </c>
      <c r="Y5" s="82">
        <v>4.60947</v>
      </c>
      <c r="Z5" s="82">
        <v>0.34875</v>
      </c>
    </row>
    <row r="6" spans="1:26">
      <c r="B6" s="137"/>
      <c r="C6" s="138"/>
      <c r="D6" s="142"/>
      <c r="E6" s="82"/>
      <c r="F6" s="82"/>
      <c r="G6" s="82"/>
      <c r="H6" s="82"/>
      <c r="I6" s="82"/>
      <c r="J6" s="82"/>
      <c r="K6" s="82"/>
      <c r="L6" s="82"/>
      <c r="M6" s="82"/>
      <c r="N6" s="82"/>
      <c r="O6" s="82"/>
      <c r="P6" s="82"/>
      <c r="Q6" s="82"/>
      <c r="R6" s="82"/>
      <c r="S6" s="82"/>
      <c r="T6" s="82"/>
      <c r="U6" s="82"/>
      <c r="V6" s="82"/>
      <c r="W6" s="82"/>
      <c r="X6" s="82"/>
      <c r="Y6" s="82"/>
      <c r="Z6" s="82"/>
    </row>
    <row r="7" spans="1:26">
      <c r="B7" s="22" t="s">
        <v>317</v>
      </c>
      <c r="C7" s="138"/>
      <c r="D7" s="142"/>
      <c r="E7" s="82"/>
      <c r="F7" s="82"/>
      <c r="G7" s="82"/>
      <c r="H7" s="82"/>
      <c r="I7" s="82"/>
      <c r="J7" s="82"/>
      <c r="K7" s="82"/>
      <c r="L7" s="82"/>
      <c r="M7" s="82"/>
      <c r="N7" s="82"/>
      <c r="O7" s="82"/>
      <c r="P7" s="82"/>
      <c r="Q7" s="82"/>
      <c r="R7" s="82"/>
      <c r="S7" s="82"/>
      <c r="T7" s="82"/>
      <c r="U7" s="82"/>
      <c r="V7" s="82"/>
      <c r="W7" s="82"/>
      <c r="X7" s="82"/>
      <c r="Y7" s="82"/>
      <c r="Z7" s="82"/>
    </row>
    <row r="8" spans="1:26">
      <c r="B8" s="137"/>
      <c r="C8" s="139" t="s">
        <v>195</v>
      </c>
      <c r="D8" s="142" t="s">
        <v>346</v>
      </c>
      <c r="E8" s="82">
        <v>419.56</v>
      </c>
      <c r="F8" s="82">
        <v>433.70431000000002</v>
      </c>
      <c r="G8" s="82">
        <v>366.55083000000002</v>
      </c>
      <c r="H8" s="82">
        <v>302.88177000000002</v>
      </c>
      <c r="I8" s="82">
        <v>289.94258600000001</v>
      </c>
      <c r="J8" s="82">
        <v>340.23683299999999</v>
      </c>
      <c r="K8" s="82">
        <v>255.55673300000001</v>
      </c>
      <c r="L8" s="82">
        <v>292.56871999999998</v>
      </c>
      <c r="M8" s="82">
        <v>290.11485099999999</v>
      </c>
      <c r="N8" s="82">
        <v>239.38557499999999</v>
      </c>
      <c r="O8" s="82">
        <v>246.58105800000001</v>
      </c>
      <c r="P8" s="82">
        <v>271.07027599999998</v>
      </c>
      <c r="Q8" s="82">
        <v>291.48072999999999</v>
      </c>
      <c r="R8" s="82">
        <v>240.916246</v>
      </c>
      <c r="S8" s="82">
        <v>219.68417700000001</v>
      </c>
      <c r="T8" s="82">
        <v>251.49180000000001</v>
      </c>
      <c r="U8" s="82">
        <v>232.87047999999999</v>
      </c>
      <c r="V8" s="82">
        <v>129.88364999999999</v>
      </c>
      <c r="W8" s="82">
        <v>134.03595000000001</v>
      </c>
      <c r="X8" s="82">
        <v>203.34705099999999</v>
      </c>
      <c r="Y8" s="82">
        <v>155.27699000000001</v>
      </c>
      <c r="Z8" s="82">
        <v>148.04216</v>
      </c>
    </row>
    <row r="9" spans="1:26">
      <c r="B9" s="137"/>
      <c r="C9" s="139" t="s">
        <v>196</v>
      </c>
      <c r="D9" s="142" t="s">
        <v>346</v>
      </c>
      <c r="E9" s="82">
        <v>216.035</v>
      </c>
      <c r="F9" s="82">
        <v>227.13056</v>
      </c>
      <c r="G9" s="82">
        <v>273.01508000000001</v>
      </c>
      <c r="H9" s="82">
        <v>186.20397</v>
      </c>
      <c r="I9" s="82">
        <v>133.53801300000001</v>
      </c>
      <c r="J9" s="82">
        <v>243.21922000000001</v>
      </c>
      <c r="K9" s="82">
        <v>215.71625</v>
      </c>
      <c r="L9" s="82">
        <v>277.68452000000002</v>
      </c>
      <c r="M9" s="82">
        <v>341.20090900000002</v>
      </c>
      <c r="N9" s="82">
        <v>311.59030000000001</v>
      </c>
      <c r="O9" s="82">
        <v>293.43531999999999</v>
      </c>
      <c r="P9" s="82">
        <v>315.11519299999998</v>
      </c>
      <c r="Q9" s="82">
        <v>433.72599000000002</v>
      </c>
      <c r="R9" s="82">
        <v>385.08900999999997</v>
      </c>
      <c r="S9" s="82">
        <v>343.72321499999998</v>
      </c>
      <c r="T9" s="82">
        <v>496.16101900000001</v>
      </c>
      <c r="U9" s="82">
        <v>549.53990299999998</v>
      </c>
      <c r="V9" s="82">
        <v>325.13989099999998</v>
      </c>
      <c r="W9" s="82">
        <v>426.24221599999998</v>
      </c>
      <c r="X9" s="82">
        <v>719.70802300000003</v>
      </c>
      <c r="Y9" s="82">
        <v>526.66292999999996</v>
      </c>
      <c r="Z9" s="82">
        <v>413.00778000000003</v>
      </c>
    </row>
    <row r="10" spans="1:26">
      <c r="B10" s="137"/>
      <c r="C10" s="139" t="s">
        <v>197</v>
      </c>
      <c r="D10" s="142" t="s">
        <v>346</v>
      </c>
      <c r="E10" s="82">
        <v>64.573999999999998</v>
      </c>
      <c r="F10" s="82">
        <v>71.177790000000002</v>
      </c>
      <c r="G10" s="82">
        <v>75.244749999999996</v>
      </c>
      <c r="H10" s="82">
        <v>68.798140000000004</v>
      </c>
      <c r="I10" s="82">
        <v>66.215947999999997</v>
      </c>
      <c r="J10" s="82">
        <v>58.970447999999998</v>
      </c>
      <c r="K10" s="82">
        <v>50.521940000000001</v>
      </c>
      <c r="L10" s="82">
        <v>43.036597</v>
      </c>
      <c r="M10" s="82">
        <v>42.6128</v>
      </c>
      <c r="N10" s="82">
        <v>45.944420000000001</v>
      </c>
      <c r="O10" s="82">
        <v>41.311950000000003</v>
      </c>
      <c r="P10" s="82">
        <v>41.413282000000002</v>
      </c>
      <c r="Q10" s="82">
        <v>42.650807</v>
      </c>
      <c r="R10" s="82">
        <v>38.545557000000002</v>
      </c>
      <c r="S10" s="82">
        <v>28.763957999999999</v>
      </c>
      <c r="T10" s="82">
        <v>21.550505000000001</v>
      </c>
      <c r="U10" s="82">
        <v>17.865883</v>
      </c>
      <c r="V10" s="82">
        <v>19.156413000000001</v>
      </c>
      <c r="W10" s="82">
        <v>19.623393</v>
      </c>
      <c r="X10" s="82">
        <v>17.881847</v>
      </c>
      <c r="Y10" s="82">
        <v>15.811195</v>
      </c>
      <c r="Z10" s="82">
        <v>24.157579999999999</v>
      </c>
    </row>
    <row r="11" spans="1:26">
      <c r="B11" s="137"/>
      <c r="C11" s="139" t="s">
        <v>198</v>
      </c>
      <c r="D11" s="142" t="s">
        <v>346</v>
      </c>
      <c r="E11" s="82">
        <v>50.784999999999997</v>
      </c>
      <c r="F11" s="82">
        <v>73.591859999999997</v>
      </c>
      <c r="G11" s="82">
        <v>74.706090000000003</v>
      </c>
      <c r="H11" s="82">
        <v>66.046130000000005</v>
      </c>
      <c r="I11" s="82">
        <v>62.698270999999998</v>
      </c>
      <c r="J11" s="82">
        <v>63.458252000000002</v>
      </c>
      <c r="K11" s="82">
        <v>43.449919999999999</v>
      </c>
      <c r="L11" s="82">
        <v>45.525440000000003</v>
      </c>
      <c r="M11" s="82">
        <v>45.353819999999999</v>
      </c>
      <c r="N11" s="82">
        <v>36.136256000000003</v>
      </c>
      <c r="O11" s="82">
        <v>28.381284999999998</v>
      </c>
      <c r="P11" s="82">
        <v>24.692084000000001</v>
      </c>
      <c r="Q11" s="82">
        <v>26.424196999999999</v>
      </c>
      <c r="R11" s="82">
        <v>22.275501999999999</v>
      </c>
      <c r="S11" s="82">
        <v>31.935663999999999</v>
      </c>
      <c r="T11" s="82">
        <v>39.644893000000003</v>
      </c>
      <c r="U11" s="82">
        <v>30.816990000000001</v>
      </c>
      <c r="V11" s="82">
        <v>30.617622999999998</v>
      </c>
      <c r="W11" s="82">
        <v>27.606598000000002</v>
      </c>
      <c r="X11" s="82">
        <v>33.510145999999999</v>
      </c>
      <c r="Y11" s="82">
        <v>37.622822999999997</v>
      </c>
      <c r="Z11" s="82">
        <v>27.913585000000001</v>
      </c>
    </row>
    <row r="12" spans="1:26">
      <c r="B12" s="137"/>
      <c r="C12" s="139" t="s">
        <v>87</v>
      </c>
      <c r="D12" s="142" t="s">
        <v>346</v>
      </c>
      <c r="E12" s="82">
        <v>750.95399999999995</v>
      </c>
      <c r="F12" s="82">
        <v>805.60451999999998</v>
      </c>
      <c r="G12" s="82">
        <v>789.51675</v>
      </c>
      <c r="H12" s="82">
        <v>623.93001000000004</v>
      </c>
      <c r="I12" s="82">
        <v>552.39481799999999</v>
      </c>
      <c r="J12" s="82">
        <v>705.88475300000005</v>
      </c>
      <c r="K12" s="82">
        <v>565.24484299999995</v>
      </c>
      <c r="L12" s="82">
        <v>658.81527700000004</v>
      </c>
      <c r="M12" s="82">
        <v>719.28237999999999</v>
      </c>
      <c r="N12" s="82">
        <v>633.05655100000001</v>
      </c>
      <c r="O12" s="82">
        <v>609.70961299999999</v>
      </c>
      <c r="P12" s="82">
        <v>652.29083500000002</v>
      </c>
      <c r="Q12" s="82">
        <v>794.28172400000005</v>
      </c>
      <c r="R12" s="82">
        <v>686.82631500000002</v>
      </c>
      <c r="S12" s="82">
        <v>624.10701400000005</v>
      </c>
      <c r="T12" s="82">
        <v>808.84821699999998</v>
      </c>
      <c r="U12" s="82">
        <v>831.093256</v>
      </c>
      <c r="V12" s="82">
        <v>504.79757699999999</v>
      </c>
      <c r="W12" s="82">
        <v>607.50815699999998</v>
      </c>
      <c r="X12" s="82">
        <v>974.44706699999995</v>
      </c>
      <c r="Y12" s="82">
        <v>735.37393799999995</v>
      </c>
      <c r="Z12" s="82">
        <v>613.12110499999994</v>
      </c>
    </row>
    <row r="13" spans="1:26">
      <c r="B13" s="137"/>
      <c r="C13" s="139"/>
      <c r="D13" s="142"/>
      <c r="E13" s="82"/>
      <c r="F13" s="82"/>
      <c r="G13" s="82"/>
      <c r="H13" s="82"/>
      <c r="I13" s="82"/>
      <c r="J13" s="82"/>
      <c r="K13" s="82"/>
      <c r="L13" s="82"/>
      <c r="M13" s="82"/>
      <c r="N13" s="82"/>
      <c r="O13" s="82"/>
      <c r="P13" s="82"/>
      <c r="Q13" s="82"/>
      <c r="R13" s="82"/>
      <c r="S13" s="82"/>
      <c r="T13" s="82"/>
      <c r="U13" s="82"/>
      <c r="V13" s="82"/>
      <c r="W13" s="82"/>
      <c r="X13" s="82"/>
      <c r="Y13" s="82"/>
      <c r="Z13" s="82"/>
    </row>
    <row r="14" spans="1:26">
      <c r="B14" s="137" t="s">
        <v>339</v>
      </c>
      <c r="C14" s="139"/>
      <c r="D14" s="142"/>
      <c r="E14" s="82"/>
      <c r="F14" s="82"/>
      <c r="G14" s="82"/>
      <c r="H14" s="82"/>
      <c r="I14" s="82"/>
      <c r="J14" s="82"/>
      <c r="K14" s="82"/>
      <c r="L14" s="82"/>
      <c r="M14" s="82"/>
      <c r="N14" s="82"/>
      <c r="O14" s="82"/>
      <c r="P14" s="82"/>
      <c r="Q14" s="82"/>
      <c r="R14" s="82"/>
      <c r="S14" s="82"/>
      <c r="T14" s="82"/>
      <c r="U14" s="82"/>
      <c r="V14" s="82"/>
      <c r="W14" s="82"/>
      <c r="X14" s="82"/>
      <c r="Y14" s="82"/>
      <c r="Z14" s="82"/>
    </row>
    <row r="15" spans="1:26">
      <c r="B15" s="137"/>
      <c r="C15" s="139" t="s">
        <v>199</v>
      </c>
      <c r="D15" s="142" t="s">
        <v>346</v>
      </c>
      <c r="E15" s="82">
        <v>13.222500340818</v>
      </c>
      <c r="F15" s="82">
        <v>16.186180315680598</v>
      </c>
      <c r="G15" s="82">
        <v>21.076596437434102</v>
      </c>
      <c r="H15" s="82">
        <v>25.0038868939608</v>
      </c>
      <c r="I15" s="82">
        <v>31.322827701175999</v>
      </c>
      <c r="J15" s="82">
        <v>33.007909368534598</v>
      </c>
      <c r="K15" s="82">
        <v>21.401022736394498</v>
      </c>
      <c r="L15" s="82">
        <v>15.445798021934101</v>
      </c>
      <c r="M15" s="82">
        <v>17.347484495719801</v>
      </c>
      <c r="N15" s="82">
        <v>15.7743547670071</v>
      </c>
      <c r="O15" s="82">
        <v>12.6081622665554</v>
      </c>
      <c r="P15" s="82">
        <v>8.5922485169240392</v>
      </c>
      <c r="Q15" s="82">
        <v>12.4630881317745</v>
      </c>
      <c r="R15" s="82">
        <v>14.1397861730423</v>
      </c>
      <c r="S15" s="82">
        <v>14.562561003313499</v>
      </c>
      <c r="T15" s="82">
        <v>12.1465381981763</v>
      </c>
      <c r="U15" s="82">
        <v>12.4655009333515</v>
      </c>
      <c r="V15" s="82">
        <v>8.4689881489545797</v>
      </c>
      <c r="W15" s="82">
        <v>7.3778174037644204</v>
      </c>
      <c r="X15" s="82">
        <v>9.6558828928931995</v>
      </c>
      <c r="Y15" s="82">
        <v>7.2861759111310098</v>
      </c>
      <c r="Z15" s="82">
        <v>7.0835640908990003</v>
      </c>
    </row>
    <row r="16" spans="1:26">
      <c r="B16" s="137"/>
      <c r="C16" s="139" t="s">
        <v>183</v>
      </c>
      <c r="D16" s="142" t="s">
        <v>346</v>
      </c>
      <c r="E16" s="82">
        <v>161.84899999999999</v>
      </c>
      <c r="F16" s="82">
        <v>183.78199000000001</v>
      </c>
      <c r="G16" s="82">
        <v>208.52816999999999</v>
      </c>
      <c r="H16" s="82">
        <v>227.03748999999999</v>
      </c>
      <c r="I16" s="82">
        <v>268.99527799999998</v>
      </c>
      <c r="J16" s="82">
        <v>256.74688500000002</v>
      </c>
      <c r="K16" s="82">
        <v>203.991714</v>
      </c>
      <c r="L16" s="82">
        <v>238.270377</v>
      </c>
      <c r="M16" s="82">
        <v>282.937659</v>
      </c>
      <c r="N16" s="82">
        <v>301.04911600000003</v>
      </c>
      <c r="O16" s="82">
        <v>284.87919799999997</v>
      </c>
      <c r="P16" s="82">
        <v>289.665189</v>
      </c>
      <c r="Q16" s="82">
        <v>341.439662</v>
      </c>
      <c r="R16" s="82">
        <v>357.11829999999998</v>
      </c>
      <c r="S16" s="82">
        <v>404.72357699999998</v>
      </c>
      <c r="T16" s="82">
        <v>549.38084300000003</v>
      </c>
      <c r="U16" s="82">
        <v>467.293475</v>
      </c>
      <c r="V16" s="82">
        <v>444.967915</v>
      </c>
      <c r="W16" s="82">
        <v>552.20027800000003</v>
      </c>
      <c r="X16" s="82">
        <v>752.08738100000005</v>
      </c>
      <c r="Y16" s="82">
        <v>646.84792400000003</v>
      </c>
      <c r="Z16" s="82">
        <v>640.86082199999998</v>
      </c>
    </row>
    <row r="17" spans="2:26">
      <c r="B17" s="137"/>
      <c r="C17" s="139" t="s">
        <v>184</v>
      </c>
      <c r="D17" s="142" t="s">
        <v>346</v>
      </c>
      <c r="E17" s="82">
        <v>88.051000000000002</v>
      </c>
      <c r="F17" s="82">
        <v>68.537149999999997</v>
      </c>
      <c r="G17" s="82">
        <v>76.057910000000007</v>
      </c>
      <c r="H17" s="82">
        <v>126.58369999999999</v>
      </c>
      <c r="I17" s="82">
        <v>114.943735</v>
      </c>
      <c r="J17" s="82">
        <v>79.547914000000006</v>
      </c>
      <c r="K17" s="82">
        <v>34.777059000000001</v>
      </c>
      <c r="L17" s="82">
        <v>67.401148000000006</v>
      </c>
      <c r="M17" s="82">
        <v>77.506140000000002</v>
      </c>
      <c r="N17" s="82">
        <v>77.508707999999999</v>
      </c>
      <c r="O17" s="82">
        <v>81.608227999999997</v>
      </c>
      <c r="P17" s="82">
        <v>95.082740000000001</v>
      </c>
      <c r="Q17" s="82">
        <v>94.602018000000001</v>
      </c>
      <c r="R17" s="82">
        <v>89.186770999999993</v>
      </c>
      <c r="S17" s="82">
        <v>124.300324</v>
      </c>
      <c r="T17" s="82">
        <v>151.02245199999999</v>
      </c>
      <c r="U17" s="82">
        <v>132.935889</v>
      </c>
      <c r="V17" s="82">
        <v>78.523231999999993</v>
      </c>
      <c r="W17" s="82">
        <v>95.660921000000002</v>
      </c>
      <c r="X17" s="82">
        <v>94.930305000000004</v>
      </c>
      <c r="Y17" s="82">
        <v>109.72499500000001</v>
      </c>
      <c r="Z17" s="82">
        <v>152.13102000000001</v>
      </c>
    </row>
    <row r="18" spans="2:26">
      <c r="B18" s="137"/>
      <c r="C18" s="139" t="s">
        <v>200</v>
      </c>
      <c r="D18" s="142" t="s">
        <v>346</v>
      </c>
      <c r="E18" s="82">
        <v>7.98</v>
      </c>
      <c r="F18" s="82">
        <v>13.941470000000001</v>
      </c>
      <c r="G18" s="82">
        <v>24.182590000000001</v>
      </c>
      <c r="H18" s="82">
        <v>32.49147</v>
      </c>
      <c r="I18" s="82">
        <v>41.983201999999999</v>
      </c>
      <c r="J18" s="82">
        <v>32.066606999999998</v>
      </c>
      <c r="K18" s="82">
        <v>23.530090000000001</v>
      </c>
      <c r="L18" s="82">
        <v>33.046211</v>
      </c>
      <c r="M18" s="82">
        <v>48.495714999999997</v>
      </c>
      <c r="N18" s="82">
        <v>70.166743999999994</v>
      </c>
      <c r="O18" s="82">
        <v>59.795583999999998</v>
      </c>
      <c r="P18" s="82">
        <v>86.204812000000004</v>
      </c>
      <c r="Q18" s="82">
        <v>81.677038999999994</v>
      </c>
      <c r="R18" s="82">
        <v>91.387923000000001</v>
      </c>
      <c r="S18" s="82">
        <v>99.191124000000002</v>
      </c>
      <c r="T18" s="82">
        <v>89.958012999999994</v>
      </c>
      <c r="U18" s="82">
        <v>73.095855999999998</v>
      </c>
      <c r="V18" s="82">
        <v>56.543368000000001</v>
      </c>
      <c r="W18" s="82">
        <v>58.636594000000002</v>
      </c>
      <c r="X18" s="82">
        <v>57.943879000000003</v>
      </c>
      <c r="Y18" s="82">
        <v>52.096027999999997</v>
      </c>
      <c r="Z18" s="82">
        <v>50.570518999999997</v>
      </c>
    </row>
    <row r="19" spans="2:26">
      <c r="B19" s="137"/>
      <c r="C19" s="139" t="s">
        <v>185</v>
      </c>
      <c r="D19" s="142" t="s">
        <v>346</v>
      </c>
      <c r="E19" s="82">
        <v>91.47</v>
      </c>
      <c r="F19" s="82">
        <v>46.233469999999997</v>
      </c>
      <c r="G19" s="82">
        <v>22.42332</v>
      </c>
      <c r="H19" s="82">
        <v>21.082529999999998</v>
      </c>
      <c r="I19" s="82">
        <v>39.574981999999999</v>
      </c>
      <c r="J19" s="82">
        <v>73.434014000000005</v>
      </c>
      <c r="K19" s="82">
        <v>93.192200999999997</v>
      </c>
      <c r="L19" s="82">
        <v>75.821010999999999</v>
      </c>
      <c r="M19" s="82">
        <v>61.414563000000001</v>
      </c>
      <c r="N19" s="82">
        <v>99.083174</v>
      </c>
      <c r="O19" s="82">
        <v>76.550464000000005</v>
      </c>
      <c r="P19" s="82">
        <v>65.274004000000005</v>
      </c>
      <c r="Q19" s="82">
        <v>85.050959000000006</v>
      </c>
      <c r="R19" s="82">
        <v>88.794811999999993</v>
      </c>
      <c r="S19" s="82">
        <v>98.313851</v>
      </c>
      <c r="T19" s="82">
        <v>145.30156400000001</v>
      </c>
      <c r="U19" s="82">
        <v>131.810393</v>
      </c>
      <c r="V19" s="82">
        <v>115.38499299999999</v>
      </c>
      <c r="W19" s="82">
        <v>114.645</v>
      </c>
      <c r="X19" s="82">
        <v>109.980745</v>
      </c>
      <c r="Y19" s="82">
        <v>121.605999</v>
      </c>
      <c r="Z19" s="82">
        <v>132.798023</v>
      </c>
    </row>
    <row r="20" spans="2:26">
      <c r="B20" s="137"/>
      <c r="C20" s="139" t="s">
        <v>201</v>
      </c>
      <c r="D20" s="142" t="s">
        <v>346</v>
      </c>
      <c r="E20" s="82">
        <v>15.753</v>
      </c>
      <c r="F20" s="82">
        <v>7.8618600000000001</v>
      </c>
      <c r="G20" s="82">
        <v>16.301100000000002</v>
      </c>
      <c r="H20" s="82">
        <v>20.9239</v>
      </c>
      <c r="I20" s="82">
        <v>23.439789999999999</v>
      </c>
      <c r="J20" s="82">
        <v>25.48583</v>
      </c>
      <c r="K20" s="82">
        <v>30.324945</v>
      </c>
      <c r="L20" s="82">
        <v>11.41178</v>
      </c>
      <c r="M20" s="82">
        <v>15.279859999999999</v>
      </c>
      <c r="N20" s="82">
        <v>14.454905999999999</v>
      </c>
      <c r="O20" s="82">
        <v>14.199370999999999</v>
      </c>
      <c r="P20" s="82">
        <v>5.1283950000000003</v>
      </c>
      <c r="Q20" s="82">
        <v>6.7545149999999996</v>
      </c>
      <c r="R20" s="82">
        <v>7.3605219999999996</v>
      </c>
      <c r="S20" s="82">
        <v>6.303528</v>
      </c>
      <c r="T20" s="82">
        <v>5.7836910000000001</v>
      </c>
      <c r="U20" s="82">
        <v>3.3251379999999999</v>
      </c>
      <c r="V20" s="82">
        <v>4.2628199999999996</v>
      </c>
      <c r="W20" s="82">
        <v>4.4882960000000001</v>
      </c>
      <c r="X20" s="82">
        <v>8.2643160000000009</v>
      </c>
      <c r="Y20" s="82">
        <v>10.133210999999999</v>
      </c>
      <c r="Z20" s="82">
        <v>3.7162799999999998</v>
      </c>
    </row>
    <row r="21" spans="2:26">
      <c r="B21" s="137"/>
      <c r="C21" s="139" t="s">
        <v>87</v>
      </c>
      <c r="D21" s="142" t="s">
        <v>346</v>
      </c>
      <c r="E21" s="82">
        <v>378.325500340818</v>
      </c>
      <c r="F21" s="82">
        <v>336.54212031568102</v>
      </c>
      <c r="G21" s="82">
        <v>368.56968643743397</v>
      </c>
      <c r="H21" s="82">
        <v>453.122976893962</v>
      </c>
      <c r="I21" s="82">
        <v>520.25981470117699</v>
      </c>
      <c r="J21" s="82">
        <v>500.28915936853502</v>
      </c>
      <c r="K21" s="82">
        <v>407.21703173639401</v>
      </c>
      <c r="L21" s="82">
        <v>441.39632502193399</v>
      </c>
      <c r="M21" s="82">
        <v>502.98142149571999</v>
      </c>
      <c r="N21" s="82">
        <v>578.03700276700704</v>
      </c>
      <c r="O21" s="82">
        <v>529.64100726655602</v>
      </c>
      <c r="P21" s="82">
        <v>549.94738851692398</v>
      </c>
      <c r="Q21" s="82">
        <v>621.98728113177401</v>
      </c>
      <c r="R21" s="82">
        <v>647.98811417304205</v>
      </c>
      <c r="S21" s="82">
        <v>747.394965003312</v>
      </c>
      <c r="T21" s="82">
        <v>953.59310119817496</v>
      </c>
      <c r="U21" s="82">
        <v>820.92625193335095</v>
      </c>
      <c r="V21" s="82">
        <v>708.15131614895495</v>
      </c>
      <c r="W21" s="82">
        <v>833.00890640376497</v>
      </c>
      <c r="X21" s="82">
        <v>1032.86250889289</v>
      </c>
      <c r="Y21" s="82">
        <v>947.69433291113103</v>
      </c>
      <c r="Z21" s="82">
        <v>987.16022809089804</v>
      </c>
    </row>
    <row r="22" spans="2:26">
      <c r="B22" s="137"/>
      <c r="C22" s="139"/>
      <c r="D22" s="142"/>
      <c r="E22" s="82"/>
      <c r="F22" s="82"/>
      <c r="G22" s="82"/>
      <c r="H22" s="82"/>
      <c r="I22" s="82"/>
      <c r="J22" s="82"/>
      <c r="K22" s="82"/>
      <c r="L22" s="82"/>
      <c r="M22" s="82"/>
      <c r="N22" s="82"/>
      <c r="O22" s="82"/>
      <c r="P22" s="82"/>
      <c r="Q22" s="82"/>
      <c r="R22" s="82"/>
      <c r="S22" s="82"/>
      <c r="T22" s="82"/>
      <c r="U22" s="82"/>
      <c r="V22" s="82"/>
      <c r="W22" s="82"/>
      <c r="X22" s="82"/>
      <c r="Y22" s="82"/>
      <c r="Z22" s="82"/>
    </row>
    <row r="23" spans="2:26">
      <c r="B23" s="137" t="s">
        <v>340</v>
      </c>
      <c r="C23" s="139"/>
      <c r="D23" s="82"/>
      <c r="E23" s="82"/>
      <c r="F23" s="82"/>
      <c r="G23" s="82"/>
      <c r="H23" s="82"/>
      <c r="I23" s="82"/>
      <c r="J23" s="82"/>
      <c r="K23" s="82"/>
      <c r="L23" s="82"/>
      <c r="M23" s="82"/>
      <c r="N23" s="82"/>
      <c r="O23" s="82"/>
      <c r="P23" s="82"/>
      <c r="Q23" s="82"/>
      <c r="R23" s="82"/>
      <c r="S23" s="82"/>
      <c r="T23" s="82"/>
      <c r="U23" s="82"/>
      <c r="V23" s="82"/>
      <c r="W23" s="82"/>
      <c r="X23" s="82"/>
      <c r="Y23" s="82"/>
      <c r="Z23" s="82"/>
    </row>
    <row r="24" spans="2:26">
      <c r="B24" s="137"/>
      <c r="C24" s="139" t="s">
        <v>199</v>
      </c>
      <c r="D24" s="142" t="s">
        <v>346</v>
      </c>
      <c r="E24" s="82">
        <v>13.222500340818</v>
      </c>
      <c r="F24" s="82">
        <v>16.186180315680598</v>
      </c>
      <c r="G24" s="82">
        <v>21.076596437434102</v>
      </c>
      <c r="H24" s="82">
        <v>25.0038868939608</v>
      </c>
      <c r="I24" s="82">
        <v>31.322827701175999</v>
      </c>
      <c r="J24" s="82">
        <v>33.007909368534598</v>
      </c>
      <c r="K24" s="82">
        <v>21.401022736394498</v>
      </c>
      <c r="L24" s="82">
        <v>15.445798021934101</v>
      </c>
      <c r="M24" s="82">
        <v>17.347484495719801</v>
      </c>
      <c r="N24" s="82">
        <v>15.7743547670071</v>
      </c>
      <c r="O24" s="82">
        <v>12.608162266555301</v>
      </c>
      <c r="P24" s="82">
        <v>8.5922485169240392</v>
      </c>
      <c r="Q24" s="82">
        <v>12.4630881317745</v>
      </c>
      <c r="R24" s="82">
        <v>14.1397861730423</v>
      </c>
      <c r="S24" s="82">
        <v>14.562561003313499</v>
      </c>
      <c r="T24" s="82">
        <v>12.1465381981763</v>
      </c>
      <c r="U24" s="82">
        <v>12.4655009333515</v>
      </c>
      <c r="V24" s="82">
        <v>8.4689881489545797</v>
      </c>
      <c r="W24" s="82">
        <v>7.3778174037644204</v>
      </c>
      <c r="X24" s="82">
        <v>9.6558828928931941</v>
      </c>
      <c r="Y24" s="82">
        <v>7.2861759111310249</v>
      </c>
      <c r="Z24" s="82">
        <v>7.0835640908989967</v>
      </c>
    </row>
    <row r="25" spans="2:26">
      <c r="B25" s="137"/>
      <c r="C25" s="139" t="s">
        <v>183</v>
      </c>
      <c r="D25" s="142" t="s">
        <v>346</v>
      </c>
      <c r="E25" s="82">
        <v>161.84899999999999</v>
      </c>
      <c r="F25" s="82">
        <v>183.78199000000001</v>
      </c>
      <c r="G25" s="82">
        <v>208.52816999999999</v>
      </c>
      <c r="H25" s="82">
        <v>227.03748999999999</v>
      </c>
      <c r="I25" s="82">
        <v>257.07401799999968</v>
      </c>
      <c r="J25" s="82">
        <v>239.86430199999916</v>
      </c>
      <c r="K25" s="82">
        <v>185.57119299999948</v>
      </c>
      <c r="L25" s="82">
        <v>223.08159799999896</v>
      </c>
      <c r="M25" s="82">
        <v>259.36687999999913</v>
      </c>
      <c r="N25" s="82">
        <v>270.6650779999996</v>
      </c>
      <c r="O25" s="82">
        <v>253.8655039999995</v>
      </c>
      <c r="P25" s="82">
        <v>242.13095799999928</v>
      </c>
      <c r="Q25" s="82">
        <v>303.31480299999998</v>
      </c>
      <c r="R25" s="82">
        <v>301.42880100000059</v>
      </c>
      <c r="S25" s="82">
        <v>318.38009599999964</v>
      </c>
      <c r="T25" s="82">
        <v>416.3129960000004</v>
      </c>
      <c r="U25" s="82">
        <v>358.91464899999954</v>
      </c>
      <c r="V25" s="82">
        <v>338.69521099999872</v>
      </c>
      <c r="W25" s="82">
        <v>417.51437299999992</v>
      </c>
      <c r="X25" s="82">
        <v>607.39051699999777</v>
      </c>
      <c r="Y25" s="82">
        <v>550.93142899999793</v>
      </c>
      <c r="Z25" s="82">
        <v>520.68663299999946</v>
      </c>
    </row>
    <row r="26" spans="2:26">
      <c r="B26" s="137"/>
      <c r="C26" s="139" t="s">
        <v>184</v>
      </c>
      <c r="D26" s="142" t="s">
        <v>346</v>
      </c>
      <c r="E26" s="82">
        <v>88.051000000000002</v>
      </c>
      <c r="F26" s="82">
        <v>68.537149999999997</v>
      </c>
      <c r="G26" s="82">
        <v>76.057910000000007</v>
      </c>
      <c r="H26" s="82">
        <v>126.58369999999999</v>
      </c>
      <c r="I26" s="82">
        <v>114.943735</v>
      </c>
      <c r="J26" s="82">
        <v>79.547914000000006</v>
      </c>
      <c r="K26" s="82">
        <v>34.777059000000001</v>
      </c>
      <c r="L26" s="82">
        <v>67.401148000000006</v>
      </c>
      <c r="M26" s="82">
        <v>77.506140000000002</v>
      </c>
      <c r="N26" s="82">
        <v>77.508707999999999</v>
      </c>
      <c r="O26" s="82">
        <v>81.608227999999997</v>
      </c>
      <c r="P26" s="82">
        <v>95.082740000000001</v>
      </c>
      <c r="Q26" s="82">
        <v>94.602018000000001</v>
      </c>
      <c r="R26" s="82">
        <v>89.186770999999993</v>
      </c>
      <c r="S26" s="82">
        <v>124.300324</v>
      </c>
      <c r="T26" s="82">
        <v>151.02245199999999</v>
      </c>
      <c r="U26" s="82">
        <v>132.935889</v>
      </c>
      <c r="V26" s="82">
        <v>78.523231999999993</v>
      </c>
      <c r="W26" s="82">
        <v>95.660921000000002</v>
      </c>
      <c r="X26" s="82">
        <v>94.930305000000061</v>
      </c>
      <c r="Y26" s="82">
        <v>109.72499499999996</v>
      </c>
      <c r="Z26" s="82">
        <v>152.13101999999992</v>
      </c>
    </row>
    <row r="27" spans="2:26">
      <c r="B27" s="137"/>
      <c r="C27" s="139" t="s">
        <v>200</v>
      </c>
      <c r="D27" s="142" t="s">
        <v>346</v>
      </c>
      <c r="E27" s="82">
        <v>7.98</v>
      </c>
      <c r="F27" s="82">
        <v>13.941470000000001</v>
      </c>
      <c r="G27" s="82">
        <v>24.182590000000001</v>
      </c>
      <c r="H27" s="82">
        <v>32.49147</v>
      </c>
      <c r="I27" s="82">
        <v>41.983201999999999</v>
      </c>
      <c r="J27" s="82">
        <v>32.066606999999998</v>
      </c>
      <c r="K27" s="82">
        <v>23.530090000000001</v>
      </c>
      <c r="L27" s="82">
        <v>33.046211</v>
      </c>
      <c r="M27" s="82">
        <v>48.495714999999997</v>
      </c>
      <c r="N27" s="82">
        <v>70.166743999999994</v>
      </c>
      <c r="O27" s="82">
        <v>59.795583999999998</v>
      </c>
      <c r="P27" s="82">
        <v>86.204812000000004</v>
      </c>
      <c r="Q27" s="82">
        <v>81.677038999999994</v>
      </c>
      <c r="R27" s="82">
        <v>91.387923000000001</v>
      </c>
      <c r="S27" s="82">
        <v>99.191124000000002</v>
      </c>
      <c r="T27" s="82">
        <v>89.958012999999994</v>
      </c>
      <c r="U27" s="82">
        <v>73.095855999999998</v>
      </c>
      <c r="V27" s="82">
        <v>56.543368000000001</v>
      </c>
      <c r="W27" s="82">
        <v>58.636594000000002</v>
      </c>
      <c r="X27" s="82">
        <v>57.94387899999996</v>
      </c>
      <c r="Y27" s="82">
        <v>52.096027999999968</v>
      </c>
      <c r="Z27" s="82">
        <v>50.570518999999948</v>
      </c>
    </row>
    <row r="28" spans="2:26">
      <c r="B28" s="137"/>
      <c r="C28" s="139" t="s">
        <v>185</v>
      </c>
      <c r="D28" s="142" t="s">
        <v>346</v>
      </c>
      <c r="E28" s="82">
        <v>91.47</v>
      </c>
      <c r="F28" s="82">
        <v>46.233469999999997</v>
      </c>
      <c r="G28" s="82">
        <v>22.42332</v>
      </c>
      <c r="H28" s="82">
        <v>21.082529999999998</v>
      </c>
      <c r="I28" s="82">
        <v>39.574981999999999</v>
      </c>
      <c r="J28" s="82">
        <v>73.434014000000005</v>
      </c>
      <c r="K28" s="82">
        <v>93.192200999999997</v>
      </c>
      <c r="L28" s="82">
        <v>75.821010999999999</v>
      </c>
      <c r="M28" s="82">
        <v>61.414563000000001</v>
      </c>
      <c r="N28" s="82">
        <v>99.083174</v>
      </c>
      <c r="O28" s="82">
        <v>76.550464000000005</v>
      </c>
      <c r="P28" s="82">
        <v>65.274004000000005</v>
      </c>
      <c r="Q28" s="82">
        <v>85.050959000000006</v>
      </c>
      <c r="R28" s="82">
        <v>88.794811999999993</v>
      </c>
      <c r="S28" s="82">
        <v>98.313851</v>
      </c>
      <c r="T28" s="82">
        <v>145.30156400000001</v>
      </c>
      <c r="U28" s="82">
        <v>131.810393</v>
      </c>
      <c r="V28" s="82">
        <v>115.38499299999999</v>
      </c>
      <c r="W28" s="82">
        <v>114.645</v>
      </c>
      <c r="X28" s="82">
        <v>109.98074499999996</v>
      </c>
      <c r="Y28" s="82">
        <v>121.60599900000001</v>
      </c>
      <c r="Z28" s="82">
        <v>132.79802300000003</v>
      </c>
    </row>
    <row r="29" spans="2:26">
      <c r="B29" s="137"/>
      <c r="C29" s="139" t="s">
        <v>201</v>
      </c>
      <c r="D29" s="142" t="s">
        <v>346</v>
      </c>
      <c r="E29" s="82">
        <v>15.753</v>
      </c>
      <c r="F29" s="82">
        <v>7.8618600000000001</v>
      </c>
      <c r="G29" s="82">
        <v>16.301100000000002</v>
      </c>
      <c r="H29" s="82">
        <v>20.9239</v>
      </c>
      <c r="I29" s="82">
        <v>23.439789999999999</v>
      </c>
      <c r="J29" s="82">
        <v>25.48583</v>
      </c>
      <c r="K29" s="82">
        <v>30.324945</v>
      </c>
      <c r="L29" s="82">
        <v>11.41178</v>
      </c>
      <c r="M29" s="82">
        <v>15.279859999999999</v>
      </c>
      <c r="N29" s="82">
        <v>14.454905999999999</v>
      </c>
      <c r="O29" s="82">
        <v>14.199370999999999</v>
      </c>
      <c r="P29" s="82">
        <v>5.1283950000000003</v>
      </c>
      <c r="Q29" s="82">
        <v>6.7545149999999996</v>
      </c>
      <c r="R29" s="82">
        <v>7.3605219999999996</v>
      </c>
      <c r="S29" s="82">
        <v>6.303528</v>
      </c>
      <c r="T29" s="82">
        <v>5.7836910000000001</v>
      </c>
      <c r="U29" s="82">
        <v>3.3251379999999999</v>
      </c>
      <c r="V29" s="82">
        <v>4.2628199999999996</v>
      </c>
      <c r="W29" s="82">
        <v>4.4882960000000001</v>
      </c>
      <c r="X29" s="82">
        <v>8.2643160000000027</v>
      </c>
      <c r="Y29" s="82">
        <v>10.133210999999999</v>
      </c>
      <c r="Z29" s="82">
        <v>3.7162800000000011</v>
      </c>
    </row>
    <row r="30" spans="2:26">
      <c r="B30" s="137"/>
      <c r="C30" s="139" t="s">
        <v>341</v>
      </c>
      <c r="D30" s="142" t="s">
        <v>346</v>
      </c>
      <c r="E30" s="82" t="s">
        <v>211</v>
      </c>
      <c r="F30" s="82" t="s">
        <v>211</v>
      </c>
      <c r="G30" s="82" t="s">
        <v>211</v>
      </c>
      <c r="H30" s="82" t="s">
        <v>211</v>
      </c>
      <c r="I30" s="82">
        <v>11.921259999999997</v>
      </c>
      <c r="J30" s="82">
        <v>16.882583</v>
      </c>
      <c r="K30" s="82">
        <v>18.420520999999994</v>
      </c>
      <c r="L30" s="82">
        <v>15.188778999999997</v>
      </c>
      <c r="M30" s="82">
        <v>23.570779000000002</v>
      </c>
      <c r="N30" s="82">
        <v>30.384037999999993</v>
      </c>
      <c r="O30" s="82">
        <v>31.013693999999994</v>
      </c>
      <c r="P30" s="82">
        <v>47.534230999999984</v>
      </c>
      <c r="Q30" s="82">
        <v>38.124858999999994</v>
      </c>
      <c r="R30" s="82">
        <v>55.689498999999962</v>
      </c>
      <c r="S30" s="82">
        <v>86.343480999999969</v>
      </c>
      <c r="T30" s="82">
        <v>133.06784699999989</v>
      </c>
      <c r="U30" s="82">
        <v>108.37882600000003</v>
      </c>
      <c r="V30" s="82">
        <v>106.27270400000005</v>
      </c>
      <c r="W30" s="82">
        <v>134.68590499999996</v>
      </c>
      <c r="X30" s="82">
        <v>144.69686399999995</v>
      </c>
      <c r="Y30" s="82">
        <v>95.916494999999983</v>
      </c>
      <c r="Z30" s="82">
        <v>120.174189</v>
      </c>
    </row>
    <row r="31" spans="2:26">
      <c r="B31" s="137"/>
      <c r="C31" s="139" t="s">
        <v>342</v>
      </c>
      <c r="D31" s="142" t="s">
        <v>346</v>
      </c>
      <c r="E31" s="82" t="s">
        <v>211</v>
      </c>
      <c r="F31" s="82" t="s">
        <v>211</v>
      </c>
      <c r="G31" s="82" t="s">
        <v>211</v>
      </c>
      <c r="H31" s="82" t="s">
        <v>211</v>
      </c>
      <c r="I31" s="82" t="s">
        <v>211</v>
      </c>
      <c r="J31" s="82" t="s">
        <v>211</v>
      </c>
      <c r="K31" s="82" t="s">
        <v>211</v>
      </c>
      <c r="L31" s="82" t="s">
        <v>211</v>
      </c>
      <c r="M31" s="82" t="s">
        <v>211</v>
      </c>
      <c r="N31" s="82" t="s">
        <v>211</v>
      </c>
      <c r="O31" s="82" t="s">
        <v>211</v>
      </c>
      <c r="P31" s="82" t="s">
        <v>211</v>
      </c>
      <c r="Q31" s="82" t="s">
        <v>211</v>
      </c>
      <c r="R31" s="82" t="s">
        <v>211</v>
      </c>
      <c r="S31" s="82" t="s">
        <v>211</v>
      </c>
      <c r="T31" s="82" t="s">
        <v>211</v>
      </c>
      <c r="U31" s="82" t="s">
        <v>211</v>
      </c>
      <c r="V31" s="82" t="s">
        <v>211</v>
      </c>
      <c r="W31" s="82" t="s">
        <v>211</v>
      </c>
      <c r="X31" s="82" t="s">
        <v>211</v>
      </c>
      <c r="Y31" s="82" t="s">
        <v>211</v>
      </c>
      <c r="Z31" s="82" t="s">
        <v>211</v>
      </c>
    </row>
    <row r="32" spans="2:26">
      <c r="C32" s="139" t="s">
        <v>343</v>
      </c>
      <c r="D32" s="142" t="s">
        <v>346</v>
      </c>
      <c r="E32" s="82" t="s">
        <v>211</v>
      </c>
      <c r="F32" s="82" t="s">
        <v>211</v>
      </c>
      <c r="G32" s="82" t="s">
        <v>211</v>
      </c>
      <c r="H32" s="82" t="s">
        <v>211</v>
      </c>
      <c r="I32" s="82" t="s">
        <v>211</v>
      </c>
      <c r="J32" s="82" t="s">
        <v>211</v>
      </c>
      <c r="K32" s="82" t="s">
        <v>211</v>
      </c>
      <c r="L32" s="82" t="s">
        <v>211</v>
      </c>
      <c r="M32" s="82" t="s">
        <v>211</v>
      </c>
      <c r="N32" s="82" t="s">
        <v>211</v>
      </c>
      <c r="O32" s="82" t="s">
        <v>211</v>
      </c>
      <c r="P32" s="82" t="s">
        <v>211</v>
      </c>
      <c r="Q32" s="82" t="s">
        <v>211</v>
      </c>
      <c r="R32" s="82" t="s">
        <v>211</v>
      </c>
      <c r="S32" s="82" t="s">
        <v>211</v>
      </c>
      <c r="T32" s="82" t="s">
        <v>211</v>
      </c>
      <c r="U32" s="82" t="s">
        <v>211</v>
      </c>
      <c r="V32" s="82" t="s">
        <v>211</v>
      </c>
      <c r="W32" s="82" t="s">
        <v>211</v>
      </c>
      <c r="X32" s="82" t="s">
        <v>211</v>
      </c>
      <c r="Y32" s="82" t="s">
        <v>211</v>
      </c>
      <c r="Z32" s="82" t="s">
        <v>211</v>
      </c>
    </row>
    <row r="33" spans="1:26">
      <c r="C33" s="139" t="s">
        <v>344</v>
      </c>
      <c r="D33" s="142" t="s">
        <v>346</v>
      </c>
      <c r="E33" s="82" t="s">
        <v>211</v>
      </c>
      <c r="F33" s="82" t="s">
        <v>211</v>
      </c>
      <c r="G33" s="82" t="s">
        <v>211</v>
      </c>
      <c r="H33" s="82" t="s">
        <v>211</v>
      </c>
      <c r="I33" s="82" t="s">
        <v>211</v>
      </c>
      <c r="J33" s="82" t="s">
        <v>211</v>
      </c>
      <c r="K33" s="82" t="s">
        <v>211</v>
      </c>
      <c r="L33" s="82" t="s">
        <v>211</v>
      </c>
      <c r="M33" s="82" t="s">
        <v>211</v>
      </c>
      <c r="N33" s="82" t="s">
        <v>211</v>
      </c>
      <c r="O33" s="82" t="s">
        <v>211</v>
      </c>
      <c r="P33" s="82" t="s">
        <v>211</v>
      </c>
      <c r="Q33" s="82" t="s">
        <v>211</v>
      </c>
      <c r="R33" s="82" t="s">
        <v>211</v>
      </c>
      <c r="S33" s="82" t="s">
        <v>211</v>
      </c>
      <c r="T33" s="82" t="s">
        <v>211</v>
      </c>
      <c r="U33" s="82" t="s">
        <v>211</v>
      </c>
      <c r="V33" s="82" t="s">
        <v>211</v>
      </c>
      <c r="W33" s="82" t="s">
        <v>211</v>
      </c>
      <c r="X33" s="82" t="s">
        <v>211</v>
      </c>
      <c r="Y33" s="82" t="s">
        <v>211</v>
      </c>
      <c r="Z33" s="82" t="s">
        <v>211</v>
      </c>
    </row>
    <row r="34" spans="1:26">
      <c r="C34" s="139" t="s">
        <v>345</v>
      </c>
      <c r="D34" s="142" t="s">
        <v>346</v>
      </c>
      <c r="E34" s="82" t="s">
        <v>211</v>
      </c>
      <c r="F34" s="82" t="s">
        <v>211</v>
      </c>
      <c r="G34" s="82" t="s">
        <v>211</v>
      </c>
      <c r="H34" s="82" t="s">
        <v>211</v>
      </c>
      <c r="I34" s="82" t="s">
        <v>211</v>
      </c>
      <c r="J34" s="82" t="s">
        <v>211</v>
      </c>
      <c r="K34" s="82" t="s">
        <v>211</v>
      </c>
      <c r="L34" s="82" t="s">
        <v>211</v>
      </c>
      <c r="M34" s="82" t="s">
        <v>211</v>
      </c>
      <c r="N34" s="82" t="s">
        <v>211</v>
      </c>
      <c r="O34" s="82" t="s">
        <v>211</v>
      </c>
      <c r="P34" s="82" t="s">
        <v>211</v>
      </c>
      <c r="Q34" s="82" t="s">
        <v>211</v>
      </c>
      <c r="R34" s="82" t="s">
        <v>211</v>
      </c>
      <c r="S34" s="82" t="s">
        <v>211</v>
      </c>
      <c r="T34" s="82" t="s">
        <v>211</v>
      </c>
      <c r="U34" s="82" t="s">
        <v>211</v>
      </c>
      <c r="V34" s="82" t="s">
        <v>211</v>
      </c>
      <c r="W34" s="82" t="s">
        <v>211</v>
      </c>
      <c r="X34" s="82" t="s">
        <v>211</v>
      </c>
      <c r="Y34" s="82" t="s">
        <v>211</v>
      </c>
      <c r="Z34" s="82" t="s">
        <v>211</v>
      </c>
    </row>
    <row r="35" spans="1:26">
      <c r="C35" s="139" t="s">
        <v>87</v>
      </c>
      <c r="D35" s="142" t="s">
        <v>346</v>
      </c>
      <c r="E35" s="82">
        <v>378.325500340818</v>
      </c>
      <c r="F35" s="82">
        <v>336.54212031568056</v>
      </c>
      <c r="G35" s="82">
        <v>368.56968643743409</v>
      </c>
      <c r="H35" s="82">
        <v>453.12297689396081</v>
      </c>
      <c r="I35" s="82">
        <v>520.25981470117563</v>
      </c>
      <c r="J35" s="82">
        <v>500.28915936853372</v>
      </c>
      <c r="K35" s="82">
        <v>407.21703173639401</v>
      </c>
      <c r="L35" s="82">
        <v>441.39632502193314</v>
      </c>
      <c r="M35" s="82">
        <v>502.98142149571896</v>
      </c>
      <c r="N35" s="82">
        <v>578.03700276700681</v>
      </c>
      <c r="O35" s="82">
        <v>529.64100726655488</v>
      </c>
      <c r="P35" s="82">
        <v>549.9473885169233</v>
      </c>
      <c r="Q35" s="82">
        <v>621.98728113177447</v>
      </c>
      <c r="R35" s="82">
        <v>647.98811417304273</v>
      </c>
      <c r="S35" s="82">
        <v>747.39496500331313</v>
      </c>
      <c r="T35" s="82">
        <v>953.59310119817644</v>
      </c>
      <c r="U35" s="82">
        <v>820.92625193335107</v>
      </c>
      <c r="V35" s="82">
        <v>708.15131614895336</v>
      </c>
      <c r="W35" s="82">
        <v>833.00890640376417</v>
      </c>
      <c r="X35" s="82">
        <v>1032.8625088928909</v>
      </c>
      <c r="Y35" s="82">
        <v>947.69433291112875</v>
      </c>
      <c r="Z35" s="82">
        <v>987.16022809089839</v>
      </c>
    </row>
    <row r="36" spans="1:26">
      <c r="B36" s="137"/>
      <c r="C36" s="139"/>
      <c r="D36" s="142"/>
      <c r="E36" s="82"/>
      <c r="F36" s="82"/>
      <c r="G36" s="82"/>
      <c r="H36" s="82"/>
      <c r="I36" s="82"/>
      <c r="J36" s="82"/>
      <c r="K36" s="82"/>
      <c r="L36" s="82"/>
      <c r="M36" s="82"/>
      <c r="N36" s="82"/>
      <c r="O36" s="82"/>
      <c r="P36" s="82"/>
      <c r="Q36" s="82"/>
      <c r="R36" s="82"/>
      <c r="S36" s="82"/>
      <c r="T36" s="82"/>
      <c r="U36" s="82"/>
      <c r="V36" s="82"/>
      <c r="W36" s="82"/>
      <c r="X36" s="82"/>
      <c r="Y36" s="82"/>
      <c r="Z36" s="82"/>
    </row>
    <row r="37" spans="1:26">
      <c r="B37" s="137" t="s">
        <v>51</v>
      </c>
      <c r="C37" s="139"/>
      <c r="D37" s="142"/>
      <c r="E37" s="82"/>
      <c r="F37" s="82"/>
      <c r="G37" s="82"/>
      <c r="H37" s="82"/>
      <c r="I37" s="82"/>
      <c r="J37" s="82"/>
      <c r="K37" s="82"/>
      <c r="L37" s="82"/>
      <c r="M37" s="82"/>
      <c r="N37" s="82"/>
      <c r="O37" s="82"/>
      <c r="P37" s="82"/>
      <c r="Q37" s="82"/>
      <c r="R37" s="82"/>
      <c r="S37" s="82"/>
      <c r="T37" s="82"/>
      <c r="U37" s="82"/>
      <c r="V37" s="82"/>
      <c r="W37" s="82"/>
      <c r="X37" s="82"/>
      <c r="Y37" s="82"/>
      <c r="Z37" s="82"/>
    </row>
    <row r="38" spans="1:26">
      <c r="B38" s="137"/>
      <c r="C38" s="139" t="s">
        <v>93</v>
      </c>
      <c r="D38" s="142" t="s">
        <v>52</v>
      </c>
      <c r="E38" s="82">
        <v>273.28800000000001</v>
      </c>
      <c r="F38" s="82">
        <v>303.53428000000002</v>
      </c>
      <c r="G38" s="82">
        <v>314.02181999999999</v>
      </c>
      <c r="H38" s="82">
        <v>339.38940000000002</v>
      </c>
      <c r="I38" s="82">
        <v>262.65263499999998</v>
      </c>
      <c r="J38" s="82">
        <v>227.615307</v>
      </c>
      <c r="K38" s="82">
        <v>197.57663099999999</v>
      </c>
      <c r="L38" s="82">
        <v>190.59609</v>
      </c>
      <c r="M38" s="82">
        <v>221.50690499999999</v>
      </c>
      <c r="N38" s="82">
        <v>121.122293</v>
      </c>
      <c r="O38" s="82">
        <v>84.700467000000003</v>
      </c>
      <c r="P38" s="82">
        <v>75.159025</v>
      </c>
      <c r="Q38" s="82">
        <v>76.280175</v>
      </c>
      <c r="R38" s="82">
        <v>69.263541000000004</v>
      </c>
      <c r="S38" s="82">
        <v>64.890360000000001</v>
      </c>
      <c r="T38" s="82">
        <v>34.575780000000002</v>
      </c>
      <c r="U38" s="82">
        <v>21.556768999999999</v>
      </c>
      <c r="V38" s="82">
        <v>87.297929999999994</v>
      </c>
      <c r="W38" s="82">
        <v>82.000960000000006</v>
      </c>
      <c r="X38" s="82">
        <v>50.35286</v>
      </c>
      <c r="Y38" s="82">
        <v>40.072539999999996</v>
      </c>
      <c r="Z38" s="82">
        <v>30.964110000000002</v>
      </c>
    </row>
    <row r="39" spans="1:26">
      <c r="B39" s="137"/>
      <c r="C39" s="139" t="s">
        <v>94</v>
      </c>
      <c r="D39" s="142" t="s">
        <v>52</v>
      </c>
      <c r="E39" s="82">
        <v>973.08834199185799</v>
      </c>
      <c r="F39" s="82">
        <v>1139.54898081899</v>
      </c>
      <c r="G39" s="82">
        <v>1224.46060834389</v>
      </c>
      <c r="H39" s="82">
        <v>1223.20220609899</v>
      </c>
      <c r="I39" s="82">
        <v>1259.4093634411699</v>
      </c>
      <c r="J39" s="82">
        <v>1237.72380655338</v>
      </c>
      <c r="K39" s="82">
        <v>1143.3406466613301</v>
      </c>
      <c r="L39" s="82">
        <v>1170.49095053786</v>
      </c>
      <c r="M39" s="82">
        <v>1242.17442463512</v>
      </c>
      <c r="N39" s="82">
        <v>1173.84960390076</v>
      </c>
      <c r="O39" s="82">
        <v>1166.793496</v>
      </c>
      <c r="P39" s="82">
        <v>1173.192884</v>
      </c>
      <c r="Q39" s="82">
        <v>1039.6459259999999</v>
      </c>
      <c r="R39" s="82">
        <v>960.03599099999997</v>
      </c>
      <c r="S39" s="82">
        <v>860.95846300000005</v>
      </c>
      <c r="T39" s="82">
        <v>823.09413099999995</v>
      </c>
      <c r="U39" s="82">
        <v>755.35667799999999</v>
      </c>
      <c r="V39" s="82">
        <v>618.45656499999996</v>
      </c>
      <c r="W39" s="82">
        <v>481.19621100000001</v>
      </c>
      <c r="X39" s="82">
        <v>550.88426100000004</v>
      </c>
      <c r="Y39" s="82">
        <v>473.55457699999999</v>
      </c>
      <c r="Z39" s="82">
        <v>530.49402299999997</v>
      </c>
    </row>
    <row r="40" spans="1:26">
      <c r="B40" s="137"/>
      <c r="C40" s="139" t="s">
        <v>95</v>
      </c>
      <c r="D40" s="142" t="s">
        <v>52</v>
      </c>
      <c r="E40" s="82">
        <v>66.6872804374173</v>
      </c>
      <c r="F40" s="82">
        <v>84.649746046771199</v>
      </c>
      <c r="G40" s="82">
        <v>77.905473942105203</v>
      </c>
      <c r="H40" s="82">
        <v>87.942758377148493</v>
      </c>
      <c r="I40" s="82">
        <v>101.833316509087</v>
      </c>
      <c r="J40" s="82">
        <v>81.128305263724698</v>
      </c>
      <c r="K40" s="82">
        <v>82.035078963197194</v>
      </c>
      <c r="L40" s="82">
        <v>101.096761722967</v>
      </c>
      <c r="M40" s="82">
        <v>113.765717356189</v>
      </c>
      <c r="N40" s="82">
        <v>117.75112552573199</v>
      </c>
      <c r="O40" s="82">
        <v>158.52703874874101</v>
      </c>
      <c r="P40" s="82">
        <v>123.363379933315</v>
      </c>
      <c r="Q40" s="82">
        <v>142.375219768611</v>
      </c>
      <c r="R40" s="82">
        <v>154.99874094764999</v>
      </c>
      <c r="S40" s="82">
        <v>164.09244407269301</v>
      </c>
      <c r="T40" s="82">
        <v>165.35838294460001</v>
      </c>
      <c r="U40" s="82">
        <v>163.84863162340699</v>
      </c>
      <c r="V40" s="82">
        <v>199.67383681530401</v>
      </c>
      <c r="W40" s="82">
        <v>136.864274674575</v>
      </c>
      <c r="X40" s="82">
        <v>154.72911205816101</v>
      </c>
      <c r="Y40" s="82">
        <v>185.75566629719799</v>
      </c>
      <c r="Z40" s="82">
        <v>174.12587964608599</v>
      </c>
    </row>
    <row r="41" spans="1:26">
      <c r="B41" s="137"/>
      <c r="C41" s="139" t="s">
        <v>96</v>
      </c>
      <c r="D41" s="142" t="s">
        <v>52</v>
      </c>
      <c r="E41" s="82">
        <v>152.772671404531</v>
      </c>
      <c r="F41" s="82">
        <v>212.73575736748401</v>
      </c>
      <c r="G41" s="82">
        <v>272.615131089123</v>
      </c>
      <c r="H41" s="82">
        <v>474.833075906391</v>
      </c>
      <c r="I41" s="82">
        <v>258.42551005728501</v>
      </c>
      <c r="J41" s="82">
        <v>307.04089564483098</v>
      </c>
      <c r="K41" s="82">
        <v>254.03246517728999</v>
      </c>
      <c r="L41" s="82">
        <v>286.42584970270701</v>
      </c>
      <c r="M41" s="82">
        <v>318.046040666811</v>
      </c>
      <c r="N41" s="82">
        <v>333.04718848825598</v>
      </c>
      <c r="O41" s="82">
        <v>388.17357271619198</v>
      </c>
      <c r="P41" s="82">
        <v>357.00875015941398</v>
      </c>
      <c r="Q41" s="82">
        <v>392.42103191286702</v>
      </c>
      <c r="R41" s="82">
        <v>410.49188803994502</v>
      </c>
      <c r="S41" s="82">
        <v>426.54119917088599</v>
      </c>
      <c r="T41" s="82">
        <v>430.172132239245</v>
      </c>
      <c r="U41" s="82">
        <v>464.08280906759899</v>
      </c>
      <c r="V41" s="82">
        <v>430.39219467950801</v>
      </c>
      <c r="W41" s="82">
        <v>438.05503834210498</v>
      </c>
      <c r="X41" s="82">
        <v>431.50009693612998</v>
      </c>
      <c r="Y41" s="82">
        <v>430.45234384438999</v>
      </c>
      <c r="Z41" s="82">
        <v>464.264816794816</v>
      </c>
    </row>
    <row r="42" spans="1:26">
      <c r="B42" s="137"/>
      <c r="C42" s="139" t="s">
        <v>87</v>
      </c>
      <c r="D42" s="142" t="s">
        <v>52</v>
      </c>
      <c r="E42" s="82">
        <v>1465.83629383381</v>
      </c>
      <c r="F42" s="82">
        <v>1740.4687642332501</v>
      </c>
      <c r="G42" s="82">
        <v>1889.0030333751199</v>
      </c>
      <c r="H42" s="82">
        <v>2125.3674403825198</v>
      </c>
      <c r="I42" s="82">
        <v>1882.32082500754</v>
      </c>
      <c r="J42" s="82">
        <v>1853.50831446194</v>
      </c>
      <c r="K42" s="82">
        <v>1676.9848218018201</v>
      </c>
      <c r="L42" s="82">
        <v>1748.60965196354</v>
      </c>
      <c r="M42" s="82">
        <v>1895.49308765813</v>
      </c>
      <c r="N42" s="82">
        <v>1745.7702109147399</v>
      </c>
      <c r="O42" s="82">
        <v>1798.1945744649299</v>
      </c>
      <c r="P42" s="82">
        <v>1728.72403909273</v>
      </c>
      <c r="Q42" s="82">
        <v>1650.7223526814801</v>
      </c>
      <c r="R42" s="82">
        <v>1594.7901609875901</v>
      </c>
      <c r="S42" s="82">
        <v>1516.4824662435799</v>
      </c>
      <c r="T42" s="82">
        <v>1453.2004261838499</v>
      </c>
      <c r="U42" s="82">
        <v>1404.8448876910099</v>
      </c>
      <c r="V42" s="82">
        <v>1335.8205264948101</v>
      </c>
      <c r="W42" s="82">
        <v>1138.11648401668</v>
      </c>
      <c r="X42" s="82">
        <v>1187.4663299942899</v>
      </c>
      <c r="Y42" s="82">
        <v>1129.83512714159</v>
      </c>
      <c r="Z42" s="82">
        <v>1199.8488294409001</v>
      </c>
    </row>
    <row r="43" spans="1:26">
      <c r="B43" s="137" t="s">
        <v>186</v>
      </c>
      <c r="C43" s="139"/>
      <c r="D43" s="142" t="s">
        <v>52</v>
      </c>
      <c r="E43" s="82">
        <v>35.167000000000002</v>
      </c>
      <c r="F43" s="82">
        <v>22.098109999999998</v>
      </c>
      <c r="G43" s="82">
        <v>55.80274</v>
      </c>
      <c r="H43" s="82">
        <v>7.4284699999999999</v>
      </c>
      <c r="I43" s="82">
        <v>57.58663</v>
      </c>
      <c r="J43" s="82">
        <v>10.162832999999999</v>
      </c>
      <c r="K43" s="82">
        <v>2.9745219999999999</v>
      </c>
      <c r="L43" s="82">
        <v>3.3849100000000001</v>
      </c>
      <c r="M43" s="82">
        <v>2.0186500000000001</v>
      </c>
      <c r="N43" s="82">
        <v>2.6455730000000002</v>
      </c>
      <c r="O43" s="82">
        <v>3.7009259999999999</v>
      </c>
      <c r="P43" s="82">
        <v>4.6386289999999999</v>
      </c>
      <c r="Q43" s="82">
        <v>3.8797100000000002</v>
      </c>
      <c r="R43" s="82">
        <v>1.459282</v>
      </c>
      <c r="S43" s="82">
        <v>1.7064900000000001</v>
      </c>
      <c r="T43" s="82">
        <v>0.93162</v>
      </c>
      <c r="U43" s="82">
        <v>4.7182240000000002</v>
      </c>
      <c r="V43" s="82">
        <v>1.2125699999999999</v>
      </c>
      <c r="W43" s="82">
        <v>1.1776500000000001</v>
      </c>
      <c r="X43" s="82">
        <v>18.784829999999999</v>
      </c>
      <c r="Y43" s="82">
        <v>5.34056</v>
      </c>
      <c r="Z43" s="82">
        <v>3.080714</v>
      </c>
    </row>
    <row r="44" spans="1:26">
      <c r="B44" s="22" t="s">
        <v>321</v>
      </c>
      <c r="C44" s="139"/>
      <c r="D44" s="142" t="s">
        <v>52</v>
      </c>
      <c r="E44" s="82">
        <v>359.029</v>
      </c>
      <c r="F44" s="82">
        <v>376.61642999999998</v>
      </c>
      <c r="G44" s="82">
        <v>350.28307000000001</v>
      </c>
      <c r="H44" s="82">
        <v>348.38436999999999</v>
      </c>
      <c r="I44" s="82">
        <v>359.03545700000001</v>
      </c>
      <c r="J44" s="82">
        <v>391.52834300000001</v>
      </c>
      <c r="K44" s="82">
        <v>344.71201100000002</v>
      </c>
      <c r="L44" s="82">
        <v>264.97249099999999</v>
      </c>
      <c r="M44" s="82">
        <v>233.22350299999999</v>
      </c>
      <c r="N44" s="82">
        <v>257.03213899999997</v>
      </c>
      <c r="O44" s="82">
        <v>262.51599700000003</v>
      </c>
      <c r="P44" s="82">
        <v>297.02245900000003</v>
      </c>
      <c r="Q44" s="82">
        <v>301.58465000000001</v>
      </c>
      <c r="R44" s="82">
        <v>280.60509000000002</v>
      </c>
      <c r="S44" s="82">
        <v>298.53043100000002</v>
      </c>
      <c r="T44" s="82">
        <v>312.197248</v>
      </c>
      <c r="U44" s="82">
        <v>289.52141699999999</v>
      </c>
      <c r="V44" s="82">
        <v>285.61765800000001</v>
      </c>
      <c r="W44" s="82">
        <v>321.47495099999998</v>
      </c>
      <c r="X44" s="82">
        <v>327.04568</v>
      </c>
      <c r="Y44" s="82">
        <v>335.67541</v>
      </c>
      <c r="Z44" s="82">
        <v>237.57436899999999</v>
      </c>
    </row>
    <row r="45" spans="1:26">
      <c r="A45" s="25"/>
      <c r="B45" s="36" t="s">
        <v>403</v>
      </c>
      <c r="C45" s="144"/>
      <c r="D45" s="143" t="s">
        <v>52</v>
      </c>
      <c r="E45" s="91">
        <v>0.436</v>
      </c>
      <c r="F45" s="91">
        <v>0.92883000000000004</v>
      </c>
      <c r="G45" s="91">
        <v>0.80027000000000004</v>
      </c>
      <c r="H45" s="91">
        <v>1.01322</v>
      </c>
      <c r="I45" s="91">
        <v>0.84374000000000005</v>
      </c>
      <c r="J45" s="91">
        <v>0.74644900000000003</v>
      </c>
      <c r="K45" s="91">
        <v>0.74451000000000001</v>
      </c>
      <c r="L45" s="91">
        <v>0.74241199999999996</v>
      </c>
      <c r="M45" s="91">
        <v>1.1849400000000001</v>
      </c>
      <c r="N45" s="91">
        <v>1.1939299999999999</v>
      </c>
      <c r="O45" s="91">
        <v>1.1685449999999999</v>
      </c>
      <c r="P45" s="91">
        <v>1.6775</v>
      </c>
      <c r="Q45" s="91">
        <v>2.3255219999999999</v>
      </c>
      <c r="R45" s="91">
        <v>1.863758</v>
      </c>
      <c r="S45" s="91">
        <v>2.651662</v>
      </c>
      <c r="T45" s="91">
        <v>2.500016</v>
      </c>
      <c r="U45" s="91">
        <v>1.7352879999999999</v>
      </c>
      <c r="V45" s="91">
        <v>2.6102129999999999</v>
      </c>
      <c r="W45" s="91">
        <v>2.1361400000000001</v>
      </c>
      <c r="X45" s="91">
        <v>2.5283540000000002</v>
      </c>
      <c r="Y45" s="91">
        <v>2.3365680000000002</v>
      </c>
      <c r="Z45" s="91">
        <v>1.3298019999999999</v>
      </c>
    </row>
    <row r="46" spans="1:26">
      <c r="A46" s="137"/>
      <c r="B46" s="139"/>
      <c r="C46" s="139"/>
      <c r="D46" s="142"/>
      <c r="E46" s="82"/>
      <c r="F46" s="82"/>
      <c r="G46" s="82"/>
      <c r="H46" s="82"/>
      <c r="I46" s="82"/>
      <c r="J46" s="82"/>
      <c r="K46" s="82"/>
      <c r="L46" s="82"/>
      <c r="M46" s="82"/>
      <c r="N46" s="82"/>
      <c r="O46" s="82"/>
      <c r="P46" s="82"/>
      <c r="Q46" s="82"/>
      <c r="R46" s="82"/>
      <c r="S46" s="82"/>
      <c r="T46" s="82"/>
      <c r="U46" s="82"/>
      <c r="V46" s="82"/>
      <c r="W46" s="82"/>
      <c r="X46" s="82"/>
      <c r="Y46" s="82"/>
      <c r="Z46" s="82"/>
    </row>
    <row r="47" spans="1:26">
      <c r="A47" s="137" t="s">
        <v>203</v>
      </c>
      <c r="B47" s="139"/>
      <c r="C47" s="139"/>
      <c r="D47" s="142"/>
      <c r="E47" s="82"/>
      <c r="F47" s="82"/>
      <c r="G47" s="82"/>
      <c r="H47" s="82"/>
      <c r="I47" s="82"/>
      <c r="J47" s="82"/>
      <c r="K47" s="82"/>
      <c r="L47" s="82"/>
      <c r="M47" s="82"/>
      <c r="N47" s="82"/>
      <c r="O47" s="82"/>
      <c r="P47" s="82"/>
      <c r="Q47" s="82"/>
      <c r="R47" s="82"/>
      <c r="S47" s="82"/>
      <c r="T47" s="82"/>
      <c r="U47" s="82"/>
      <c r="V47" s="82"/>
      <c r="W47" s="82"/>
      <c r="X47" s="82"/>
      <c r="Y47" s="82"/>
      <c r="Z47" s="82"/>
    </row>
    <row r="48" spans="1:26">
      <c r="B48" s="137" t="s">
        <v>194</v>
      </c>
      <c r="C48" s="139"/>
      <c r="D48" s="142" t="s">
        <v>47</v>
      </c>
      <c r="E48" s="82">
        <v>1.753935</v>
      </c>
      <c r="F48" s="82">
        <v>1.1170736699999999</v>
      </c>
      <c r="G48" s="82">
        <v>1.0250245</v>
      </c>
      <c r="H48" s="82">
        <v>0.40737472000000002</v>
      </c>
      <c r="I48" s="82">
        <v>0.60455506999999997</v>
      </c>
      <c r="J48" s="82">
        <v>0.76243598999999995</v>
      </c>
      <c r="K48" s="82">
        <v>1.05239415</v>
      </c>
      <c r="L48" s="82">
        <v>0.41481268999999998</v>
      </c>
      <c r="M48" s="82">
        <v>0.58335946999999999</v>
      </c>
      <c r="N48" s="82">
        <v>0.74549401000000004</v>
      </c>
      <c r="O48" s="82">
        <v>0.92964860999999999</v>
      </c>
      <c r="P48" s="82">
        <v>0.77415476999999999</v>
      </c>
      <c r="Q48" s="82">
        <v>0.58993901000000004</v>
      </c>
      <c r="R48" s="82">
        <v>1.6526791700000001</v>
      </c>
      <c r="S48" s="82">
        <v>4.0142489699999997</v>
      </c>
      <c r="T48" s="82">
        <v>1.7313248000000001</v>
      </c>
      <c r="U48" s="82">
        <v>3.81102462</v>
      </c>
      <c r="V48" s="82">
        <v>1.33506043</v>
      </c>
      <c r="W48" s="82">
        <v>2.2782044699999999</v>
      </c>
      <c r="X48" s="82">
        <v>2.8944834099999999</v>
      </c>
      <c r="Y48" s="82">
        <v>4.2074967399999998</v>
      </c>
      <c r="Z48" s="82">
        <v>0.81821759999999999</v>
      </c>
    </row>
    <row r="49" spans="2:26">
      <c r="B49" s="137"/>
      <c r="C49" s="139"/>
      <c r="D49" s="142"/>
      <c r="E49" s="82"/>
      <c r="F49" s="82"/>
      <c r="G49" s="82"/>
      <c r="H49" s="82"/>
      <c r="I49" s="82"/>
      <c r="J49" s="82"/>
      <c r="K49" s="82"/>
      <c r="L49" s="82"/>
      <c r="M49" s="82"/>
      <c r="N49" s="82"/>
      <c r="O49" s="82"/>
      <c r="P49" s="82"/>
      <c r="Q49" s="82"/>
      <c r="R49" s="82"/>
      <c r="S49" s="82"/>
      <c r="T49" s="82"/>
      <c r="U49" s="82"/>
      <c r="V49" s="82"/>
      <c r="W49" s="82"/>
      <c r="X49" s="82"/>
      <c r="Y49" s="82"/>
      <c r="Z49" s="82"/>
    </row>
    <row r="50" spans="2:26">
      <c r="B50" s="22" t="s">
        <v>317</v>
      </c>
      <c r="C50" s="139"/>
      <c r="D50" s="142"/>
      <c r="E50" s="82"/>
      <c r="F50" s="82"/>
      <c r="G50" s="82"/>
      <c r="H50" s="82"/>
      <c r="I50" s="82"/>
      <c r="J50" s="82"/>
      <c r="K50" s="82"/>
      <c r="L50" s="82"/>
      <c r="M50" s="82"/>
      <c r="N50" s="82"/>
      <c r="O50" s="82"/>
      <c r="P50" s="82"/>
      <c r="Q50" s="82"/>
      <c r="R50" s="82"/>
      <c r="S50" s="82"/>
      <c r="T50" s="82"/>
      <c r="U50" s="82"/>
      <c r="V50" s="82"/>
      <c r="W50" s="82"/>
      <c r="X50" s="82"/>
      <c r="Y50" s="82"/>
      <c r="Z50" s="82"/>
    </row>
    <row r="51" spans="2:26">
      <c r="B51" s="137"/>
      <c r="C51" s="139" t="s">
        <v>195</v>
      </c>
      <c r="D51" s="142" t="s">
        <v>47</v>
      </c>
      <c r="E51" s="82">
        <v>223.760895</v>
      </c>
      <c r="F51" s="82">
        <v>211.61650796000001</v>
      </c>
      <c r="G51" s="82">
        <v>182.27240205999999</v>
      </c>
      <c r="H51" s="82">
        <v>150.26425872999999</v>
      </c>
      <c r="I51" s="82">
        <v>148.13426494999999</v>
      </c>
      <c r="J51" s="82">
        <v>185.97978773</v>
      </c>
      <c r="K51" s="82">
        <v>133.87190849000001</v>
      </c>
      <c r="L51" s="82">
        <v>140.30471914</v>
      </c>
      <c r="M51" s="82">
        <v>134.56784565000001</v>
      </c>
      <c r="N51" s="82">
        <v>104.86648022999999</v>
      </c>
      <c r="O51" s="82">
        <v>100.11176157</v>
      </c>
      <c r="P51" s="82">
        <v>110.73710874</v>
      </c>
      <c r="Q51" s="82">
        <v>127.66440830000001</v>
      </c>
      <c r="R51" s="82">
        <v>111.87697987999999</v>
      </c>
      <c r="S51" s="82">
        <v>108.46819304</v>
      </c>
      <c r="T51" s="82">
        <v>128.89161443</v>
      </c>
      <c r="U51" s="82">
        <v>136.99269149</v>
      </c>
      <c r="V51" s="82">
        <v>79.516751339999999</v>
      </c>
      <c r="W51" s="82">
        <v>87.608686939999998</v>
      </c>
      <c r="X51" s="82">
        <v>161.50013515000001</v>
      </c>
      <c r="Y51" s="82">
        <v>135.29401164999999</v>
      </c>
      <c r="Z51" s="82">
        <v>95.686076540000002</v>
      </c>
    </row>
    <row r="52" spans="2:26">
      <c r="B52" s="137"/>
      <c r="C52" s="139" t="s">
        <v>196</v>
      </c>
      <c r="D52" s="142" t="s">
        <v>47</v>
      </c>
      <c r="E52" s="82">
        <v>118.54264999999999</v>
      </c>
      <c r="F52" s="82">
        <v>121.3639811</v>
      </c>
      <c r="G52" s="82">
        <v>135.86234632</v>
      </c>
      <c r="H52" s="82">
        <v>100.39666736</v>
      </c>
      <c r="I52" s="82">
        <v>85.608887240000001</v>
      </c>
      <c r="J52" s="82">
        <v>121.55088753</v>
      </c>
      <c r="K52" s="82">
        <v>106.6989301</v>
      </c>
      <c r="L52" s="82">
        <v>121.85390082000001</v>
      </c>
      <c r="M52" s="82">
        <v>147.95705548999999</v>
      </c>
      <c r="N52" s="82">
        <v>141.61000780000001</v>
      </c>
      <c r="O52" s="82">
        <v>140.25017231000001</v>
      </c>
      <c r="P52" s="82">
        <v>171.28668464</v>
      </c>
      <c r="Q52" s="82">
        <v>230.63677995</v>
      </c>
      <c r="R52" s="82">
        <v>202.77052684</v>
      </c>
      <c r="S52" s="82">
        <v>183.23736647000001</v>
      </c>
      <c r="T52" s="82">
        <v>243.02665544000001</v>
      </c>
      <c r="U52" s="82">
        <v>266.60368856000002</v>
      </c>
      <c r="V52" s="82">
        <v>161.05926054</v>
      </c>
      <c r="W52" s="82">
        <v>216.26289492999999</v>
      </c>
      <c r="X52" s="82">
        <v>547.89705043000004</v>
      </c>
      <c r="Y52" s="82">
        <v>384.39584460999998</v>
      </c>
      <c r="Z52" s="82">
        <v>251.41999609000001</v>
      </c>
    </row>
    <row r="53" spans="2:26">
      <c r="B53" s="137"/>
      <c r="C53" s="139" t="s">
        <v>197</v>
      </c>
      <c r="D53" s="142" t="s">
        <v>47</v>
      </c>
      <c r="E53" s="82">
        <v>61.876257000000003</v>
      </c>
      <c r="F53" s="82">
        <v>54.879320049999997</v>
      </c>
      <c r="G53" s="82">
        <v>60.761463569999997</v>
      </c>
      <c r="H53" s="82">
        <v>62.204182580000001</v>
      </c>
      <c r="I53" s="82">
        <v>64.134833490000005</v>
      </c>
      <c r="J53" s="82">
        <v>56.404841070000003</v>
      </c>
      <c r="K53" s="82">
        <v>48.533147110000002</v>
      </c>
      <c r="L53" s="82">
        <v>39.373413450000001</v>
      </c>
      <c r="M53" s="82">
        <v>40.125359750000001</v>
      </c>
      <c r="N53" s="82">
        <v>44.282140439999999</v>
      </c>
      <c r="O53" s="82">
        <v>41.490522939999998</v>
      </c>
      <c r="P53" s="82">
        <v>45.714677360000003</v>
      </c>
      <c r="Q53" s="82">
        <v>57.197154089999998</v>
      </c>
      <c r="R53" s="82">
        <v>55.115690290000003</v>
      </c>
      <c r="S53" s="82">
        <v>43.870419499999997</v>
      </c>
      <c r="T53" s="82">
        <v>34.776503810000001</v>
      </c>
      <c r="U53" s="82">
        <v>33.659476429999998</v>
      </c>
      <c r="V53" s="82">
        <v>34.743122970000002</v>
      </c>
      <c r="W53" s="82">
        <v>32.781070800000002</v>
      </c>
      <c r="X53" s="82">
        <v>38.94137087</v>
      </c>
      <c r="Y53" s="82">
        <v>32.616826430000003</v>
      </c>
      <c r="Z53" s="82">
        <v>47.99765713</v>
      </c>
    </row>
    <row r="54" spans="2:26">
      <c r="B54" s="137"/>
      <c r="C54" s="139" t="s">
        <v>198</v>
      </c>
      <c r="D54" s="142" t="s">
        <v>47</v>
      </c>
      <c r="E54" s="82">
        <v>43.130384999999997</v>
      </c>
      <c r="F54" s="82">
        <v>53.644320630000003</v>
      </c>
      <c r="G54" s="82">
        <v>60.258329019999998</v>
      </c>
      <c r="H54" s="82">
        <v>56.430043249999997</v>
      </c>
      <c r="I54" s="82">
        <v>62.621474849999998</v>
      </c>
      <c r="J54" s="82">
        <v>58.444160719999999</v>
      </c>
      <c r="K54" s="82">
        <v>54.877405529999997</v>
      </c>
      <c r="L54" s="82">
        <v>49.587840540000002</v>
      </c>
      <c r="M54" s="82">
        <v>50.318452559999997</v>
      </c>
      <c r="N54" s="82">
        <v>50.783308050000002</v>
      </c>
      <c r="O54" s="82">
        <v>35.016242069999997</v>
      </c>
      <c r="P54" s="82">
        <v>30.77722743</v>
      </c>
      <c r="Q54" s="82">
        <v>34.301566989999998</v>
      </c>
      <c r="R54" s="82">
        <v>27.68495184</v>
      </c>
      <c r="S54" s="82">
        <v>37.307784290000001</v>
      </c>
      <c r="T54" s="82">
        <v>44.731926119999997</v>
      </c>
      <c r="U54" s="82">
        <v>39.238608859999999</v>
      </c>
      <c r="V54" s="82">
        <v>37.314666160000002</v>
      </c>
      <c r="W54" s="82">
        <v>33.951177940000001</v>
      </c>
      <c r="X54" s="82">
        <v>42.553354589999998</v>
      </c>
      <c r="Y54" s="82">
        <v>45.700852230000002</v>
      </c>
      <c r="Z54" s="82">
        <v>35.547890049999999</v>
      </c>
    </row>
    <row r="55" spans="2:26">
      <c r="B55" s="137"/>
      <c r="C55" s="139" t="s">
        <v>87</v>
      </c>
      <c r="D55" s="142" t="s">
        <v>47</v>
      </c>
      <c r="E55" s="82">
        <v>447.31018699999998</v>
      </c>
      <c r="F55" s="82">
        <v>441.50412974</v>
      </c>
      <c r="G55" s="82">
        <v>439.15454097000003</v>
      </c>
      <c r="H55" s="82">
        <v>369.29515192000002</v>
      </c>
      <c r="I55" s="82">
        <v>360.49946053000002</v>
      </c>
      <c r="J55" s="82">
        <v>422.37967705</v>
      </c>
      <c r="K55" s="82">
        <v>343.98139122999999</v>
      </c>
      <c r="L55" s="82">
        <v>351.11987395</v>
      </c>
      <c r="M55" s="82">
        <v>372.96871345</v>
      </c>
      <c r="N55" s="82">
        <v>341.54193651999998</v>
      </c>
      <c r="O55" s="82">
        <v>316.86869889000002</v>
      </c>
      <c r="P55" s="82">
        <v>358.51569817000001</v>
      </c>
      <c r="Q55" s="82">
        <v>449.79990932999999</v>
      </c>
      <c r="R55" s="82">
        <v>397.44814885</v>
      </c>
      <c r="S55" s="82">
        <v>372.8837633</v>
      </c>
      <c r="T55" s="82">
        <v>451.42669979999999</v>
      </c>
      <c r="U55" s="82">
        <v>476.49446533999998</v>
      </c>
      <c r="V55" s="82">
        <v>312.63380101000001</v>
      </c>
      <c r="W55" s="82">
        <v>370.60383060999999</v>
      </c>
      <c r="X55" s="82">
        <v>790.89191103999997</v>
      </c>
      <c r="Y55" s="82">
        <v>598.00753492000001</v>
      </c>
      <c r="Z55" s="82">
        <v>430.65161981</v>
      </c>
    </row>
    <row r="56" spans="2:26">
      <c r="B56" s="137"/>
      <c r="C56" s="139"/>
      <c r="D56" s="142"/>
      <c r="E56" s="82"/>
      <c r="F56" s="82"/>
      <c r="G56" s="82"/>
      <c r="H56" s="82"/>
      <c r="I56" s="82"/>
      <c r="J56" s="82"/>
      <c r="K56" s="82"/>
      <c r="L56" s="82"/>
      <c r="M56" s="82"/>
      <c r="N56" s="82"/>
      <c r="O56" s="82"/>
      <c r="P56" s="82"/>
      <c r="Q56" s="82"/>
      <c r="R56" s="82"/>
      <c r="S56" s="82"/>
      <c r="T56" s="82"/>
      <c r="U56" s="82"/>
      <c r="V56" s="82"/>
      <c r="W56" s="82"/>
      <c r="X56" s="82"/>
      <c r="Y56" s="82"/>
      <c r="Z56" s="82"/>
    </row>
    <row r="57" spans="2:26">
      <c r="B57" s="137"/>
      <c r="C57" s="139"/>
      <c r="D57" s="142"/>
      <c r="E57" s="82">
        <v>651.75886200000002</v>
      </c>
      <c r="F57" s="82">
        <v>656.96931386999995</v>
      </c>
      <c r="G57" s="82">
        <v>652.91517059</v>
      </c>
      <c r="H57" s="82">
        <v>593.34953241000005</v>
      </c>
      <c r="I57" s="82">
        <v>642.69186532000003</v>
      </c>
      <c r="J57" s="82">
        <v>675.10283629000003</v>
      </c>
      <c r="K57" s="82">
        <v>735.87098399000001</v>
      </c>
      <c r="L57" s="82">
        <v>708.24317396000004</v>
      </c>
      <c r="M57" s="82">
        <v>806.28481396999996</v>
      </c>
      <c r="N57" s="82">
        <v>847.18865137</v>
      </c>
      <c r="O57" s="82">
        <v>839.88788068999997</v>
      </c>
      <c r="P57" s="82">
        <v>1016.50058225</v>
      </c>
      <c r="Q57" s="82">
        <v>1206.3596286899999</v>
      </c>
      <c r="R57" s="82">
        <v>1371.64569542</v>
      </c>
      <c r="S57" s="82">
        <v>1307.96864357</v>
      </c>
      <c r="T57" s="82">
        <v>1454.2220246100001</v>
      </c>
      <c r="U57" s="82">
        <v>1516.0963166700001</v>
      </c>
      <c r="V57" s="82">
        <v>1401.0358971200001</v>
      </c>
      <c r="W57" s="82">
        <v>1467.65956607</v>
      </c>
      <c r="X57" s="82">
        <v>1685.1756932999999</v>
      </c>
      <c r="Y57" s="82">
        <v>1541.3277902100001</v>
      </c>
      <c r="Z57" s="82">
        <v>1463.4324425299999</v>
      </c>
    </row>
    <row r="58" spans="2:26">
      <c r="B58" s="137" t="s">
        <v>204</v>
      </c>
      <c r="C58" s="139"/>
      <c r="D58" s="142" t="s">
        <v>47</v>
      </c>
      <c r="E58" s="82">
        <v>651.75886200000002</v>
      </c>
      <c r="F58" s="82">
        <v>656.96931386999995</v>
      </c>
      <c r="G58" s="82">
        <v>652.91517059</v>
      </c>
      <c r="H58" s="82">
        <v>593.34953241000005</v>
      </c>
      <c r="I58" s="82">
        <v>642.69186532000003</v>
      </c>
      <c r="J58" s="82">
        <v>675.10283629000003</v>
      </c>
      <c r="K58" s="82">
        <v>735.87098399000001</v>
      </c>
      <c r="L58" s="82">
        <v>708.24317396000004</v>
      </c>
      <c r="M58" s="82">
        <v>806.28481396999996</v>
      </c>
      <c r="N58" s="82">
        <v>847.18865137</v>
      </c>
      <c r="O58" s="82">
        <v>839.88788068999997</v>
      </c>
      <c r="P58" s="82">
        <v>1016.50058225</v>
      </c>
      <c r="Q58" s="82">
        <v>1206.3596286899999</v>
      </c>
      <c r="R58" s="82">
        <v>1371.64569542</v>
      </c>
      <c r="S58" s="82">
        <v>1307.96864357</v>
      </c>
      <c r="T58" s="82">
        <v>1454.2220246100001</v>
      </c>
      <c r="U58" s="82">
        <v>1516.0963166700001</v>
      </c>
      <c r="V58" s="82">
        <v>1401.0358971200001</v>
      </c>
      <c r="W58" s="82">
        <v>1467.65956607</v>
      </c>
      <c r="X58" s="82">
        <v>1579.06112231</v>
      </c>
      <c r="Y58" s="82">
        <v>1340.7179980100002</v>
      </c>
      <c r="Z58" s="82">
        <v>1272.9708752199999</v>
      </c>
    </row>
    <row r="59" spans="2:26">
      <c r="B59" s="137"/>
      <c r="C59" s="139"/>
      <c r="D59" s="142"/>
      <c r="E59" s="82"/>
      <c r="F59" s="82"/>
      <c r="G59" s="82"/>
      <c r="H59" s="82"/>
      <c r="I59" s="82"/>
      <c r="J59" s="82"/>
      <c r="K59" s="82"/>
      <c r="L59" s="82"/>
      <c r="M59" s="82"/>
      <c r="N59" s="82"/>
      <c r="O59" s="82"/>
      <c r="P59" s="82"/>
      <c r="Q59" s="82"/>
      <c r="R59" s="82"/>
      <c r="S59" s="82"/>
      <c r="T59" s="82"/>
      <c r="U59" s="82"/>
      <c r="V59" s="82"/>
      <c r="W59" s="82"/>
      <c r="X59" s="82"/>
      <c r="Y59" s="82"/>
      <c r="Z59" s="82"/>
    </row>
    <row r="60" spans="2:26">
      <c r="B60" s="137" t="s">
        <v>340</v>
      </c>
      <c r="C60" s="139"/>
      <c r="D60" s="82"/>
      <c r="E60" s="82"/>
      <c r="F60" s="82"/>
      <c r="G60" s="82"/>
      <c r="H60" s="82"/>
      <c r="I60" s="82"/>
      <c r="J60" s="82"/>
      <c r="K60" s="82"/>
      <c r="L60" s="82"/>
      <c r="M60" s="82"/>
      <c r="N60" s="82"/>
      <c r="O60" s="82"/>
      <c r="P60" s="82"/>
      <c r="Q60" s="82"/>
      <c r="R60" s="82"/>
      <c r="S60" s="82"/>
      <c r="T60" s="82"/>
      <c r="U60" s="82"/>
      <c r="V60" s="82"/>
      <c r="W60" s="82"/>
      <c r="X60" s="82"/>
      <c r="Y60" s="82"/>
      <c r="Z60" s="82"/>
    </row>
    <row r="61" spans="2:26">
      <c r="B61" s="137"/>
      <c r="C61" s="139" t="s">
        <v>199</v>
      </c>
      <c r="D61" s="142" t="s">
        <v>47</v>
      </c>
      <c r="E61" s="82">
        <v>25.963949</v>
      </c>
      <c r="F61" s="82">
        <v>23.056419080000001</v>
      </c>
      <c r="G61" s="82">
        <v>24.346274959999999</v>
      </c>
      <c r="H61" s="82">
        <v>24.9061868</v>
      </c>
      <c r="I61" s="82">
        <v>31.500561980000001</v>
      </c>
      <c r="J61" s="82">
        <v>33.420487289999997</v>
      </c>
      <c r="K61" s="82">
        <v>28.33645031</v>
      </c>
      <c r="L61" s="82">
        <v>21.652799569999999</v>
      </c>
      <c r="M61" s="82">
        <v>20.90281113</v>
      </c>
      <c r="N61" s="82">
        <v>20.771987280000001</v>
      </c>
      <c r="O61" s="82">
        <v>19.141696169999999</v>
      </c>
      <c r="P61" s="82">
        <v>15.44464775</v>
      </c>
      <c r="Q61" s="82">
        <v>22.380981080000002</v>
      </c>
      <c r="R61" s="82">
        <v>23.600750590000001</v>
      </c>
      <c r="S61" s="82">
        <v>21.280687790000002</v>
      </c>
      <c r="T61" s="82">
        <v>19.601124049999999</v>
      </c>
      <c r="U61" s="82">
        <v>17.624287519999999</v>
      </c>
      <c r="V61" s="82">
        <v>14.31733502</v>
      </c>
      <c r="W61" s="82">
        <v>15.198113080000001</v>
      </c>
      <c r="X61" s="82">
        <v>17.350893590000009</v>
      </c>
      <c r="Y61" s="82">
        <v>19.426565329999999</v>
      </c>
      <c r="Z61" s="82">
        <v>19.272750680000012</v>
      </c>
    </row>
    <row r="62" spans="2:26">
      <c r="B62" s="137"/>
      <c r="C62" s="139" t="s">
        <v>183</v>
      </c>
      <c r="D62" s="142" t="s">
        <v>47</v>
      </c>
      <c r="E62" s="82">
        <v>114.30277599999999</v>
      </c>
      <c r="F62" s="82">
        <v>113.03014596</v>
      </c>
      <c r="G62" s="82">
        <v>128.56055588000001</v>
      </c>
      <c r="H62" s="82">
        <v>133.57521047</v>
      </c>
      <c r="I62" s="82">
        <v>158.7028382200003</v>
      </c>
      <c r="J62" s="82">
        <v>135.9253982900002</v>
      </c>
      <c r="K62" s="82">
        <v>124.9966888999999</v>
      </c>
      <c r="L62" s="82">
        <v>121.88267706999989</v>
      </c>
      <c r="M62" s="82">
        <v>149.7592635699998</v>
      </c>
      <c r="N62" s="82">
        <v>158.21548628999997</v>
      </c>
      <c r="O62" s="82">
        <v>154.02784776000001</v>
      </c>
      <c r="P62" s="82">
        <v>169.25572678999961</v>
      </c>
      <c r="Q62" s="82">
        <v>219.88440534000034</v>
      </c>
      <c r="R62" s="82">
        <v>243.42560901000033</v>
      </c>
      <c r="S62" s="82">
        <v>263.22800062999977</v>
      </c>
      <c r="T62" s="82">
        <v>331.57943408000057</v>
      </c>
      <c r="U62" s="82">
        <v>345.25976481999976</v>
      </c>
      <c r="V62" s="82">
        <v>328.95683957999933</v>
      </c>
      <c r="W62" s="82">
        <v>363.47026799000014</v>
      </c>
      <c r="X62" s="82">
        <v>585.1505904100004</v>
      </c>
      <c r="Y62" s="82">
        <v>573.98337594000088</v>
      </c>
      <c r="Z62" s="82">
        <v>515.59747037999921</v>
      </c>
    </row>
    <row r="63" spans="2:26">
      <c r="B63" s="137"/>
      <c r="C63" s="139" t="s">
        <v>184</v>
      </c>
      <c r="D63" s="142" t="s">
        <v>47</v>
      </c>
      <c r="E63" s="82">
        <v>17.441980000000001</v>
      </c>
      <c r="F63" s="82">
        <v>18.364609550000001</v>
      </c>
      <c r="G63" s="82">
        <v>19.974398520000001</v>
      </c>
      <c r="H63" s="82">
        <v>24.928019370000001</v>
      </c>
      <c r="I63" s="82">
        <v>27.722071769999999</v>
      </c>
      <c r="J63" s="82">
        <v>23.749976539999999</v>
      </c>
      <c r="K63" s="82">
        <v>14.13166391</v>
      </c>
      <c r="L63" s="82">
        <v>18.32612958</v>
      </c>
      <c r="M63" s="82">
        <v>20.897055999999999</v>
      </c>
      <c r="N63" s="82">
        <v>26.07295839</v>
      </c>
      <c r="O63" s="82">
        <v>26.88008632</v>
      </c>
      <c r="P63" s="82">
        <v>35.45334768</v>
      </c>
      <c r="Q63" s="82">
        <v>37.776060540000003</v>
      </c>
      <c r="R63" s="82">
        <v>40.99116059</v>
      </c>
      <c r="S63" s="82">
        <v>52.370317290000003</v>
      </c>
      <c r="T63" s="82">
        <v>66.099521949999996</v>
      </c>
      <c r="U63" s="82">
        <v>62.21603545</v>
      </c>
      <c r="V63" s="82">
        <v>42.290301479999997</v>
      </c>
      <c r="W63" s="82">
        <v>46.443107869999999</v>
      </c>
      <c r="X63" s="82">
        <v>51.454099859999985</v>
      </c>
      <c r="Y63" s="82">
        <v>56.839870719999986</v>
      </c>
      <c r="Z63" s="82">
        <v>61.589172869999985</v>
      </c>
    </row>
    <row r="64" spans="2:26">
      <c r="B64" s="137"/>
      <c r="C64" s="139" t="s">
        <v>200</v>
      </c>
      <c r="D64" s="142" t="s">
        <v>47</v>
      </c>
      <c r="E64" s="82">
        <v>5.9738680000000004</v>
      </c>
      <c r="F64" s="82">
        <v>10.679352039999999</v>
      </c>
      <c r="G64" s="82">
        <v>18.83277734</v>
      </c>
      <c r="H64" s="82">
        <v>27.34645196</v>
      </c>
      <c r="I64" s="82">
        <v>29.934840940000001</v>
      </c>
      <c r="J64" s="82">
        <v>28.080753059999999</v>
      </c>
      <c r="K64" s="82">
        <v>25.676475419999999</v>
      </c>
      <c r="L64" s="82">
        <v>30.438650679999999</v>
      </c>
      <c r="M64" s="82">
        <v>39.731123410000002</v>
      </c>
      <c r="N64" s="82">
        <v>53.878627340000001</v>
      </c>
      <c r="O64" s="82">
        <v>47.525412109999998</v>
      </c>
      <c r="P64" s="82">
        <v>71.5692035</v>
      </c>
      <c r="Q64" s="82">
        <v>66.965322740000005</v>
      </c>
      <c r="R64" s="82">
        <v>69.221942619999993</v>
      </c>
      <c r="S64" s="82">
        <v>68.192320019999997</v>
      </c>
      <c r="T64" s="82">
        <v>68.562814509999995</v>
      </c>
      <c r="U64" s="82">
        <v>62.669529859999997</v>
      </c>
      <c r="V64" s="82">
        <v>51.002006870000002</v>
      </c>
      <c r="W64" s="82">
        <v>51.638702780000003</v>
      </c>
      <c r="X64" s="82">
        <v>51.170348430000033</v>
      </c>
      <c r="Y64" s="82">
        <v>51.210483049999972</v>
      </c>
      <c r="Z64" s="82">
        <v>46.952264229999962</v>
      </c>
    </row>
    <row r="65" spans="2:26">
      <c r="B65" s="137"/>
      <c r="C65" s="139" t="s">
        <v>185</v>
      </c>
      <c r="D65" s="142" t="s">
        <v>47</v>
      </c>
      <c r="E65" s="82">
        <v>35.624234999999999</v>
      </c>
      <c r="F65" s="82">
        <v>23.035804049999999</v>
      </c>
      <c r="G65" s="82">
        <v>12.08781892</v>
      </c>
      <c r="H65" s="82">
        <v>11.5444327</v>
      </c>
      <c r="I65" s="82">
        <v>19.145954230000001</v>
      </c>
      <c r="J65" s="82">
        <v>32.712271180000002</v>
      </c>
      <c r="K65" s="82">
        <v>40.954776090000003</v>
      </c>
      <c r="L65" s="82">
        <v>37.063758210000003</v>
      </c>
      <c r="M65" s="82">
        <v>34.47589266</v>
      </c>
      <c r="N65" s="82">
        <v>36.270267519999997</v>
      </c>
      <c r="O65" s="82">
        <v>32.282312859999998</v>
      </c>
      <c r="P65" s="82">
        <v>35.214807970000003</v>
      </c>
      <c r="Q65" s="82">
        <v>45.272635370000003</v>
      </c>
      <c r="R65" s="82">
        <v>51.286376349999998</v>
      </c>
      <c r="S65" s="82">
        <v>50.677522240000002</v>
      </c>
      <c r="T65" s="82">
        <v>75.702565750000005</v>
      </c>
      <c r="U65" s="82">
        <v>80.273097100000001</v>
      </c>
      <c r="V65" s="82">
        <v>80.479296070000004</v>
      </c>
      <c r="W65" s="82">
        <v>77.082490309999997</v>
      </c>
      <c r="X65" s="82">
        <v>67.636639019999961</v>
      </c>
      <c r="Y65" s="82">
        <v>84.746225070000008</v>
      </c>
      <c r="Z65" s="82">
        <v>90.235851819999908</v>
      </c>
    </row>
    <row r="66" spans="2:26">
      <c r="B66" s="137"/>
      <c r="C66" s="139" t="s">
        <v>201</v>
      </c>
      <c r="D66" s="142" t="s">
        <v>47</v>
      </c>
      <c r="E66" s="82">
        <v>8.9228170000000002</v>
      </c>
      <c r="F66" s="82">
        <v>3.4492756400000002</v>
      </c>
      <c r="G66" s="82">
        <v>4.9226383299999998</v>
      </c>
      <c r="H66" s="82">
        <v>7.0826509499999997</v>
      </c>
      <c r="I66" s="82">
        <v>7.1526727399999999</v>
      </c>
      <c r="J66" s="82">
        <v>2.9132760000000002</v>
      </c>
      <c r="K66" s="82">
        <v>4.0391294000000002</v>
      </c>
      <c r="L66" s="82">
        <v>2.8953644700000001</v>
      </c>
      <c r="M66" s="82">
        <v>2.9985383699999999</v>
      </c>
      <c r="N66" s="82">
        <v>3.1675441700000002</v>
      </c>
      <c r="O66" s="82">
        <v>2.0842188099999999</v>
      </c>
      <c r="P66" s="82">
        <v>2.7054347500000002</v>
      </c>
      <c r="Q66" s="82">
        <v>2.9761715</v>
      </c>
      <c r="R66" s="82">
        <v>3.9792192000000002</v>
      </c>
      <c r="S66" s="82">
        <v>4.0418796199999996</v>
      </c>
      <c r="T66" s="82">
        <v>5.61704253</v>
      </c>
      <c r="U66" s="82">
        <v>2.2409755499999999</v>
      </c>
      <c r="V66" s="82">
        <v>1.5983892799999999</v>
      </c>
      <c r="W66" s="82">
        <v>1.79167688</v>
      </c>
      <c r="X66" s="82">
        <v>1.8879454699999998</v>
      </c>
      <c r="Y66" s="82">
        <v>2.4018001000000004</v>
      </c>
      <c r="Z66" s="82">
        <v>2.1480582999999998</v>
      </c>
    </row>
    <row r="67" spans="2:26">
      <c r="B67" s="137"/>
      <c r="C67" s="139" t="s">
        <v>341</v>
      </c>
      <c r="D67" s="142" t="s">
        <v>47</v>
      </c>
      <c r="E67" s="82" t="s">
        <v>211</v>
      </c>
      <c r="F67" s="82" t="s">
        <v>211</v>
      </c>
      <c r="G67" s="82" t="s">
        <v>211</v>
      </c>
      <c r="H67" s="82" t="s">
        <v>211</v>
      </c>
      <c r="I67" s="82">
        <v>9.0126064799999988</v>
      </c>
      <c r="J67" s="82">
        <v>16.741916019999994</v>
      </c>
      <c r="K67" s="82">
        <v>20.375124039999996</v>
      </c>
      <c r="L67" s="82">
        <v>15.799806489999998</v>
      </c>
      <c r="M67" s="82">
        <v>20.513262940000018</v>
      </c>
      <c r="N67" s="82">
        <v>24.504747469999998</v>
      </c>
      <c r="O67" s="82">
        <v>29.542827279999997</v>
      </c>
      <c r="P67" s="82">
        <v>40.64769962000004</v>
      </c>
      <c r="Q67" s="82">
        <v>44.090020869999996</v>
      </c>
      <c r="R67" s="82">
        <v>56.818963769999996</v>
      </c>
      <c r="S67" s="82">
        <v>85.759213689999939</v>
      </c>
      <c r="T67" s="82">
        <v>117.07542649000014</v>
      </c>
      <c r="U67" s="82">
        <v>107.95847272999998</v>
      </c>
      <c r="V67" s="82">
        <v>123.67912676999993</v>
      </c>
      <c r="W67" s="82">
        <v>133.66220353000006</v>
      </c>
      <c r="X67" s="82">
        <v>160.20552169999993</v>
      </c>
      <c r="Y67" s="82">
        <v>124.10645546999997</v>
      </c>
      <c r="Z67" s="82">
        <v>123.47417054999997</v>
      </c>
    </row>
    <row r="68" spans="2:26">
      <c r="B68" s="137"/>
      <c r="C68" s="139" t="s">
        <v>342</v>
      </c>
      <c r="D68" s="142" t="s">
        <v>47</v>
      </c>
      <c r="E68" s="82" t="s">
        <v>211</v>
      </c>
      <c r="F68" s="82" t="s">
        <v>211</v>
      </c>
      <c r="G68" s="82" t="s">
        <v>211</v>
      </c>
      <c r="H68" s="82" t="s">
        <v>211</v>
      </c>
      <c r="I68" s="82" t="s">
        <v>211</v>
      </c>
      <c r="J68" s="82" t="s">
        <v>211</v>
      </c>
      <c r="K68" s="82" t="s">
        <v>211</v>
      </c>
      <c r="L68" s="82" t="s">
        <v>211</v>
      </c>
      <c r="M68" s="82" t="s">
        <v>211</v>
      </c>
      <c r="N68" s="82" t="s">
        <v>211</v>
      </c>
      <c r="O68" s="82" t="s">
        <v>211</v>
      </c>
      <c r="P68" s="82" t="s">
        <v>211</v>
      </c>
      <c r="Q68" s="82" t="s">
        <v>211</v>
      </c>
      <c r="R68" s="82" t="s">
        <v>211</v>
      </c>
      <c r="S68" s="82" t="s">
        <v>211</v>
      </c>
      <c r="T68" s="82" t="s">
        <v>211</v>
      </c>
      <c r="U68" s="82" t="s">
        <v>211</v>
      </c>
      <c r="V68" s="82" t="s">
        <v>211</v>
      </c>
      <c r="W68" s="82" t="s">
        <v>211</v>
      </c>
      <c r="X68" s="82">
        <v>6.8385156899999995</v>
      </c>
      <c r="Y68" s="82">
        <v>1.4787333599999999</v>
      </c>
      <c r="Z68" s="82">
        <v>1.6362791099999998</v>
      </c>
    </row>
    <row r="69" spans="2:26">
      <c r="C69" s="139" t="s">
        <v>343</v>
      </c>
      <c r="D69" s="142" t="s">
        <v>47</v>
      </c>
      <c r="E69" s="82" t="s">
        <v>211</v>
      </c>
      <c r="F69" s="82" t="s">
        <v>211</v>
      </c>
      <c r="G69" s="82" t="s">
        <v>211</v>
      </c>
      <c r="H69" s="82" t="s">
        <v>211</v>
      </c>
      <c r="I69" s="82" t="s">
        <v>211</v>
      </c>
      <c r="J69" s="82" t="s">
        <v>211</v>
      </c>
      <c r="K69" s="82" t="s">
        <v>211</v>
      </c>
      <c r="L69" s="82" t="s">
        <v>211</v>
      </c>
      <c r="M69" s="82" t="s">
        <v>211</v>
      </c>
      <c r="N69" s="82" t="s">
        <v>211</v>
      </c>
      <c r="O69" s="82" t="s">
        <v>211</v>
      </c>
      <c r="P69" s="82" t="s">
        <v>211</v>
      </c>
      <c r="Q69" s="82" t="s">
        <v>211</v>
      </c>
      <c r="R69" s="82" t="s">
        <v>211</v>
      </c>
      <c r="S69" s="82" t="s">
        <v>211</v>
      </c>
      <c r="T69" s="82" t="s">
        <v>211</v>
      </c>
      <c r="U69" s="82" t="s">
        <v>211</v>
      </c>
      <c r="V69" s="82" t="s">
        <v>211</v>
      </c>
      <c r="W69" s="82" t="s">
        <v>211</v>
      </c>
      <c r="X69" s="82">
        <v>20.463357579999997</v>
      </c>
      <c r="Y69" s="82">
        <v>53.166922110000044</v>
      </c>
      <c r="Z69" s="82">
        <v>45.905832090000011</v>
      </c>
    </row>
    <row r="70" spans="2:26">
      <c r="C70" s="139" t="s">
        <v>344</v>
      </c>
      <c r="D70" s="142" t="s">
        <v>47</v>
      </c>
      <c r="E70" s="82" t="s">
        <v>211</v>
      </c>
      <c r="F70" s="82" t="s">
        <v>211</v>
      </c>
      <c r="G70" s="82" t="s">
        <v>211</v>
      </c>
      <c r="H70" s="82" t="s">
        <v>211</v>
      </c>
      <c r="I70" s="82" t="s">
        <v>211</v>
      </c>
      <c r="J70" s="82" t="s">
        <v>211</v>
      </c>
      <c r="K70" s="82" t="s">
        <v>211</v>
      </c>
      <c r="L70" s="82" t="s">
        <v>211</v>
      </c>
      <c r="M70" s="82" t="s">
        <v>211</v>
      </c>
      <c r="N70" s="82" t="s">
        <v>211</v>
      </c>
      <c r="O70" s="82" t="s">
        <v>211</v>
      </c>
      <c r="P70" s="82" t="s">
        <v>211</v>
      </c>
      <c r="Q70" s="82" t="s">
        <v>211</v>
      </c>
      <c r="R70" s="82" t="s">
        <v>211</v>
      </c>
      <c r="S70" s="82" t="s">
        <v>211</v>
      </c>
      <c r="T70" s="82" t="s">
        <v>211</v>
      </c>
      <c r="U70" s="82" t="s">
        <v>211</v>
      </c>
      <c r="V70" s="82" t="s">
        <v>211</v>
      </c>
      <c r="W70" s="82" t="s">
        <v>211</v>
      </c>
      <c r="X70" s="82">
        <v>24.400104190000008</v>
      </c>
      <c r="Y70" s="82">
        <v>49.02984429</v>
      </c>
      <c r="Z70" s="82">
        <v>56.912643330000002</v>
      </c>
    </row>
    <row r="71" spans="2:26">
      <c r="C71" s="139" t="s">
        <v>345</v>
      </c>
      <c r="D71" s="142" t="s">
        <v>47</v>
      </c>
      <c r="E71" s="82" t="s">
        <v>211</v>
      </c>
      <c r="F71" s="82" t="s">
        <v>211</v>
      </c>
      <c r="G71" s="82" t="s">
        <v>211</v>
      </c>
      <c r="H71" s="82" t="s">
        <v>211</v>
      </c>
      <c r="I71" s="82" t="s">
        <v>211</v>
      </c>
      <c r="J71" s="82" t="s">
        <v>211</v>
      </c>
      <c r="K71" s="82" t="s">
        <v>211</v>
      </c>
      <c r="L71" s="82" t="s">
        <v>211</v>
      </c>
      <c r="M71" s="82" t="s">
        <v>211</v>
      </c>
      <c r="N71" s="82" t="s">
        <v>211</v>
      </c>
      <c r="O71" s="82" t="s">
        <v>211</v>
      </c>
      <c r="P71" s="82" t="s">
        <v>211</v>
      </c>
      <c r="Q71" s="82" t="s">
        <v>211</v>
      </c>
      <c r="R71" s="82" t="s">
        <v>211</v>
      </c>
      <c r="S71" s="82" t="s">
        <v>211</v>
      </c>
      <c r="T71" s="82" t="s">
        <v>211</v>
      </c>
      <c r="U71" s="82" t="s">
        <v>211</v>
      </c>
      <c r="V71" s="82" t="s">
        <v>211</v>
      </c>
      <c r="W71" s="82" t="s">
        <v>211</v>
      </c>
      <c r="X71" s="82">
        <v>54.412593529999981</v>
      </c>
      <c r="Y71" s="82">
        <v>96.934292439999879</v>
      </c>
      <c r="Z71" s="82">
        <v>86.006812780000033</v>
      </c>
    </row>
    <row r="72" spans="2:26">
      <c r="C72" s="139" t="s">
        <v>87</v>
      </c>
      <c r="D72" s="142" t="s">
        <v>47</v>
      </c>
      <c r="E72" s="82">
        <v>208.22962500000003</v>
      </c>
      <c r="F72" s="82">
        <v>191.61560632000001</v>
      </c>
      <c r="G72" s="82">
        <v>208.72446395</v>
      </c>
      <c r="H72" s="82">
        <v>229.38295224999999</v>
      </c>
      <c r="I72" s="82">
        <v>283.17154636000032</v>
      </c>
      <c r="J72" s="82">
        <v>273.5440783800002</v>
      </c>
      <c r="K72" s="82">
        <v>258.51030806999989</v>
      </c>
      <c r="L72" s="82">
        <v>248.0591860699999</v>
      </c>
      <c r="M72" s="82">
        <v>289.27794807999982</v>
      </c>
      <c r="N72" s="82">
        <v>322.88161845999991</v>
      </c>
      <c r="O72" s="82">
        <v>311.48440130999995</v>
      </c>
      <c r="P72" s="82">
        <v>370.29086805999964</v>
      </c>
      <c r="Q72" s="82">
        <v>439.3455974400004</v>
      </c>
      <c r="R72" s="82">
        <v>489.32402213000029</v>
      </c>
      <c r="S72" s="82">
        <v>545.54994127999976</v>
      </c>
      <c r="T72" s="82">
        <v>684.23792936000075</v>
      </c>
      <c r="U72" s="82">
        <v>678.2421630299998</v>
      </c>
      <c r="V72" s="82">
        <v>642.32329506999918</v>
      </c>
      <c r="W72" s="82">
        <v>689.28656244000013</v>
      </c>
      <c r="X72" s="82">
        <v>1040.9706094700002</v>
      </c>
      <c r="Y72" s="82">
        <v>1113.3245678800008</v>
      </c>
      <c r="Z72" s="82">
        <v>1049.7313061399991</v>
      </c>
    </row>
    <row r="73" spans="2:26">
      <c r="B73" s="137"/>
      <c r="C73" s="139"/>
      <c r="D73" s="142"/>
      <c r="E73" s="82"/>
      <c r="F73" s="82"/>
      <c r="G73" s="82"/>
      <c r="H73" s="82"/>
      <c r="I73" s="82"/>
      <c r="J73" s="82"/>
      <c r="K73" s="82"/>
      <c r="L73" s="82"/>
      <c r="M73" s="82"/>
      <c r="N73" s="82"/>
      <c r="O73" s="82"/>
      <c r="P73" s="82"/>
      <c r="Q73" s="82"/>
      <c r="R73" s="82"/>
      <c r="S73" s="82"/>
      <c r="T73" s="82"/>
      <c r="U73" s="82"/>
      <c r="V73" s="82"/>
      <c r="W73" s="82"/>
      <c r="X73" s="82"/>
      <c r="Y73" s="82"/>
      <c r="Z73" s="82"/>
    </row>
    <row r="74" spans="2:26">
      <c r="B74" s="137" t="s">
        <v>51</v>
      </c>
      <c r="C74" s="139"/>
      <c r="D74" s="142"/>
      <c r="E74" s="82"/>
      <c r="F74" s="82"/>
      <c r="G74" s="82"/>
      <c r="H74" s="82"/>
      <c r="I74" s="82"/>
      <c r="J74" s="82"/>
      <c r="K74" s="82"/>
      <c r="L74" s="82"/>
      <c r="M74" s="82"/>
      <c r="N74" s="82"/>
      <c r="O74" s="82"/>
      <c r="P74" s="82"/>
      <c r="Q74" s="82"/>
      <c r="R74" s="82"/>
      <c r="S74" s="82"/>
      <c r="T74" s="82"/>
      <c r="U74" s="82"/>
      <c r="V74" s="82"/>
      <c r="W74" s="82"/>
      <c r="X74" s="82"/>
      <c r="Y74" s="82"/>
      <c r="Z74" s="82"/>
    </row>
    <row r="75" spans="2:26">
      <c r="B75" s="137"/>
      <c r="C75" s="139" t="s">
        <v>93</v>
      </c>
      <c r="D75" s="142" t="s">
        <v>47</v>
      </c>
      <c r="E75" s="82">
        <v>243.929541</v>
      </c>
      <c r="F75" s="82">
        <v>260.95119519000002</v>
      </c>
      <c r="G75" s="82">
        <v>260.69025561000001</v>
      </c>
      <c r="H75" s="82">
        <v>266.89620922</v>
      </c>
      <c r="I75" s="82">
        <v>224.07291115999999</v>
      </c>
      <c r="J75" s="82">
        <v>184.57643174</v>
      </c>
      <c r="K75" s="82">
        <v>173.43881906999999</v>
      </c>
      <c r="L75" s="82">
        <v>157.97364311000001</v>
      </c>
      <c r="M75" s="82">
        <v>175.66552073</v>
      </c>
      <c r="N75" s="82">
        <v>90.618745570000002</v>
      </c>
      <c r="O75" s="82">
        <v>57.875065169999999</v>
      </c>
      <c r="P75" s="82">
        <v>48.93608888</v>
      </c>
      <c r="Q75" s="82">
        <v>48.29234683</v>
      </c>
      <c r="R75" s="82">
        <v>43.629860049999998</v>
      </c>
      <c r="S75" s="82">
        <v>40.141063420000002</v>
      </c>
      <c r="T75" s="82">
        <v>17.859796920000001</v>
      </c>
      <c r="U75" s="82">
        <v>13.462971830000001</v>
      </c>
      <c r="V75" s="82">
        <v>61.159555390000001</v>
      </c>
      <c r="W75" s="82">
        <v>56.89524926</v>
      </c>
      <c r="X75" s="82">
        <v>39.068470499999997</v>
      </c>
      <c r="Y75" s="82">
        <v>47.200698099999997</v>
      </c>
      <c r="Z75" s="82">
        <v>32.643803040000002</v>
      </c>
    </row>
    <row r="76" spans="2:26">
      <c r="B76" s="137"/>
      <c r="C76" s="139" t="s">
        <v>94</v>
      </c>
      <c r="D76" s="142" t="s">
        <v>47</v>
      </c>
      <c r="E76" s="82">
        <v>1452.9228780000001</v>
      </c>
      <c r="F76" s="82">
        <v>1430.9977982800001</v>
      </c>
      <c r="G76" s="82">
        <v>1451.0967906000001</v>
      </c>
      <c r="H76" s="82">
        <v>1438.2071459199999</v>
      </c>
      <c r="I76" s="82">
        <v>1453.2003960300001</v>
      </c>
      <c r="J76" s="82">
        <v>1456.1092190899999</v>
      </c>
      <c r="K76" s="82">
        <v>1467.8252735599999</v>
      </c>
      <c r="L76" s="82">
        <v>1354.8612215400001</v>
      </c>
      <c r="M76" s="82">
        <v>1347.4154661499999</v>
      </c>
      <c r="N76" s="82">
        <v>1216.62201762</v>
      </c>
      <c r="O76" s="82">
        <v>1150.9917191899999</v>
      </c>
      <c r="P76" s="82">
        <v>1193.81506128</v>
      </c>
      <c r="Q76" s="82">
        <v>1122.63342762</v>
      </c>
      <c r="R76" s="82">
        <v>1036.42862474</v>
      </c>
      <c r="S76" s="82">
        <v>877.21513573000004</v>
      </c>
      <c r="T76" s="82">
        <v>874.03649284999995</v>
      </c>
      <c r="U76" s="82">
        <v>884.78224362000003</v>
      </c>
      <c r="V76" s="82">
        <v>785.21912051000004</v>
      </c>
      <c r="W76" s="82">
        <v>612.2492575</v>
      </c>
      <c r="X76" s="82">
        <v>738.61725736999995</v>
      </c>
      <c r="Y76" s="82">
        <v>783.99636542999997</v>
      </c>
      <c r="Z76" s="82">
        <v>812.01549351999995</v>
      </c>
    </row>
    <row r="77" spans="2:26">
      <c r="B77" s="137"/>
      <c r="C77" s="139" t="s">
        <v>95</v>
      </c>
      <c r="D77" s="142" t="s">
        <v>47</v>
      </c>
      <c r="E77" s="82">
        <v>117.926602</v>
      </c>
      <c r="F77" s="82">
        <v>137.91914041999999</v>
      </c>
      <c r="G77" s="82">
        <v>127.91214284</v>
      </c>
      <c r="H77" s="82">
        <v>151.64728740999999</v>
      </c>
      <c r="I77" s="82">
        <v>177.12349957000001</v>
      </c>
      <c r="J77" s="82">
        <v>137.27467369999999</v>
      </c>
      <c r="K77" s="82">
        <v>154.17185787</v>
      </c>
      <c r="L77" s="82">
        <v>163.50028220999999</v>
      </c>
      <c r="M77" s="82">
        <v>185.1952867</v>
      </c>
      <c r="N77" s="82">
        <v>186.72179098999999</v>
      </c>
      <c r="O77" s="82">
        <v>244.0984134</v>
      </c>
      <c r="P77" s="82">
        <v>208.2057753</v>
      </c>
      <c r="Q77" s="82">
        <v>253.99063713999999</v>
      </c>
      <c r="R77" s="82">
        <v>305.32935190000001</v>
      </c>
      <c r="S77" s="82">
        <v>296.24977970999998</v>
      </c>
      <c r="T77" s="82">
        <v>295.52592562000001</v>
      </c>
      <c r="U77" s="82">
        <v>322.29806716000002</v>
      </c>
      <c r="V77" s="82">
        <v>394.65604246999999</v>
      </c>
      <c r="W77" s="82">
        <v>211.47595029999999</v>
      </c>
      <c r="X77" s="82">
        <v>270.99132163000002</v>
      </c>
      <c r="Y77" s="82">
        <v>382.86548985000002</v>
      </c>
      <c r="Z77" s="82">
        <v>326.31936123999998</v>
      </c>
    </row>
    <row r="78" spans="2:26">
      <c r="B78" s="137"/>
      <c r="C78" s="139" t="s">
        <v>96</v>
      </c>
      <c r="D78" s="142" t="s">
        <v>47</v>
      </c>
      <c r="E78" s="82">
        <v>343.770061</v>
      </c>
      <c r="F78" s="82">
        <v>306.85001524</v>
      </c>
      <c r="G78" s="82">
        <v>344.39890986</v>
      </c>
      <c r="H78" s="82">
        <v>330.28195555000002</v>
      </c>
      <c r="I78" s="82">
        <v>416.07746259999999</v>
      </c>
      <c r="J78" s="82">
        <v>470.43529767000001</v>
      </c>
      <c r="K78" s="82">
        <v>480.99358998000002</v>
      </c>
      <c r="L78" s="82">
        <v>498.80453115</v>
      </c>
      <c r="M78" s="82">
        <v>514.96153974000003</v>
      </c>
      <c r="N78" s="82">
        <v>542.81561643999999</v>
      </c>
      <c r="O78" s="82">
        <v>590.11287301000004</v>
      </c>
      <c r="P78" s="82">
        <v>653.81060514000001</v>
      </c>
      <c r="Q78" s="82">
        <v>727.88054785999998</v>
      </c>
      <c r="R78" s="82">
        <v>845.04120865000004</v>
      </c>
      <c r="S78" s="82">
        <v>882.52799401000004</v>
      </c>
      <c r="T78" s="82">
        <v>917.42092536999996</v>
      </c>
      <c r="U78" s="82">
        <v>1024.63890986</v>
      </c>
      <c r="V78" s="82">
        <v>1033.92275834</v>
      </c>
      <c r="W78" s="82">
        <v>1049.77114884</v>
      </c>
      <c r="X78" s="82">
        <v>1186.58357471</v>
      </c>
      <c r="Y78" s="82">
        <v>1284.5408413299999</v>
      </c>
      <c r="Z78" s="82">
        <v>1370.0262008899999</v>
      </c>
    </row>
    <row r="79" spans="2:26">
      <c r="B79" s="137"/>
      <c r="C79" s="139" t="s">
        <v>87</v>
      </c>
      <c r="D79" s="142" t="s">
        <v>47</v>
      </c>
      <c r="E79" s="82">
        <v>2158.549082</v>
      </c>
      <c r="F79" s="82">
        <v>2136.7181491299998</v>
      </c>
      <c r="G79" s="82">
        <v>2184.0980989099999</v>
      </c>
      <c r="H79" s="82">
        <v>2187.0325981000001</v>
      </c>
      <c r="I79" s="82">
        <v>2270.4742693600001</v>
      </c>
      <c r="J79" s="82">
        <v>2248.3956222000002</v>
      </c>
      <c r="K79" s="82">
        <v>2276.42954048</v>
      </c>
      <c r="L79" s="82">
        <v>2175.1396780099999</v>
      </c>
      <c r="M79" s="82">
        <v>2223.23781332</v>
      </c>
      <c r="N79" s="82">
        <v>2036.7781706200001</v>
      </c>
      <c r="O79" s="82">
        <v>2043.0780707700001</v>
      </c>
      <c r="P79" s="82">
        <v>2104.7675306000001</v>
      </c>
      <c r="Q79" s="82">
        <v>2152.79695945</v>
      </c>
      <c r="R79" s="82">
        <v>2230.4290453399999</v>
      </c>
      <c r="S79" s="82">
        <v>2096.13397287</v>
      </c>
      <c r="T79" s="82">
        <v>2104.8431407600001</v>
      </c>
      <c r="U79" s="82">
        <v>2245.1821924699998</v>
      </c>
      <c r="V79" s="82">
        <v>2274.9574767099998</v>
      </c>
      <c r="W79" s="82">
        <v>1930.3916059000001</v>
      </c>
      <c r="X79" s="82">
        <v>2235.2606242100001</v>
      </c>
      <c r="Y79" s="82">
        <v>2498.60339471</v>
      </c>
      <c r="Z79" s="82">
        <v>2541.0048586900002</v>
      </c>
    </row>
    <row r="80" spans="2:26">
      <c r="B80" s="22" t="s">
        <v>318</v>
      </c>
      <c r="C80" s="138"/>
      <c r="D80" s="142" t="s">
        <v>47</v>
      </c>
      <c r="E80" s="82">
        <v>363.45755100000002</v>
      </c>
      <c r="F80" s="82">
        <v>340.77003710000002</v>
      </c>
      <c r="G80" s="82">
        <v>395.77950534000001</v>
      </c>
      <c r="H80" s="82">
        <v>425.79715239000001</v>
      </c>
      <c r="I80" s="82">
        <v>469.50495414</v>
      </c>
      <c r="J80" s="82">
        <v>513.32559170000002</v>
      </c>
      <c r="K80" s="82">
        <v>590.21708592000005</v>
      </c>
      <c r="L80" s="82">
        <v>562.80970843</v>
      </c>
      <c r="M80" s="82">
        <v>556.59387174999995</v>
      </c>
      <c r="N80" s="82">
        <v>486.21709250999999</v>
      </c>
      <c r="O80" s="82">
        <v>446.08340858999998</v>
      </c>
      <c r="P80" s="82">
        <v>536.78786328000001</v>
      </c>
      <c r="Q80" s="82">
        <v>581.89530715000001</v>
      </c>
      <c r="R80" s="82">
        <v>661.90331457000002</v>
      </c>
      <c r="S80" s="82">
        <v>648.16919335</v>
      </c>
      <c r="T80" s="82">
        <v>653.31662753000001</v>
      </c>
      <c r="U80" s="82">
        <v>719.36960350000004</v>
      </c>
      <c r="V80" s="82">
        <v>745.86645614999998</v>
      </c>
      <c r="W80" s="82">
        <v>730.32017112000005</v>
      </c>
      <c r="X80" s="82">
        <v>794.36381253000002</v>
      </c>
      <c r="Y80" s="82">
        <v>942.96609225999998</v>
      </c>
      <c r="Z80" s="82">
        <v>983.35923384</v>
      </c>
    </row>
    <row r="81" spans="1:26">
      <c r="B81" s="22" t="s">
        <v>186</v>
      </c>
      <c r="C81" s="138"/>
      <c r="D81" s="142" t="s">
        <v>47</v>
      </c>
      <c r="E81" s="82">
        <v>8.0031389999999991</v>
      </c>
      <c r="F81" s="82">
        <v>4.68539058</v>
      </c>
      <c r="G81" s="82">
        <v>2.3213537199999998</v>
      </c>
      <c r="H81" s="82">
        <v>1.45984128</v>
      </c>
      <c r="I81" s="82">
        <v>2.2558671000000001</v>
      </c>
      <c r="J81" s="82">
        <v>2.3594685399999999</v>
      </c>
      <c r="K81" s="82">
        <v>0.76985099999999995</v>
      </c>
      <c r="L81" s="82">
        <v>0.55742449000000005</v>
      </c>
      <c r="M81" s="82">
        <v>0.42127036000000001</v>
      </c>
      <c r="N81" s="82">
        <v>0.69725267000000002</v>
      </c>
      <c r="O81" s="82">
        <v>0.85641038000000003</v>
      </c>
      <c r="P81" s="82">
        <v>2.04148855</v>
      </c>
      <c r="Q81" s="82">
        <v>1.27582996</v>
      </c>
      <c r="R81" s="82">
        <v>0.25911139999999999</v>
      </c>
      <c r="S81" s="82">
        <v>0.49059553</v>
      </c>
      <c r="T81" s="82">
        <v>0.20266459000000001</v>
      </c>
      <c r="U81" s="82">
        <v>2.0221749</v>
      </c>
      <c r="V81" s="82">
        <v>0.44138495999999999</v>
      </c>
      <c r="W81" s="82">
        <v>0.63948780999999999</v>
      </c>
      <c r="X81" s="82">
        <v>1.2519222999999999</v>
      </c>
      <c r="Y81" s="82">
        <v>0.55301661000000002</v>
      </c>
      <c r="Z81" s="82">
        <v>1.52418857</v>
      </c>
    </row>
    <row r="82" spans="1:26">
      <c r="B82" s="22" t="s">
        <v>319</v>
      </c>
      <c r="C82" s="138"/>
      <c r="D82" s="142" t="s">
        <v>47</v>
      </c>
      <c r="E82" s="82">
        <v>253.74225200000001</v>
      </c>
      <c r="F82" s="82">
        <v>235.08780297999999</v>
      </c>
      <c r="G82" s="82">
        <v>225.06292102</v>
      </c>
      <c r="H82" s="82">
        <v>225.03467165000001</v>
      </c>
      <c r="I82" s="82">
        <v>265.16577475000003</v>
      </c>
      <c r="J82" s="82">
        <v>285.21418955000001</v>
      </c>
      <c r="K82" s="82">
        <v>262.58680378000003</v>
      </c>
      <c r="L82" s="82">
        <v>177.83952959999999</v>
      </c>
      <c r="M82" s="82">
        <v>180.25842388000001</v>
      </c>
      <c r="N82" s="82">
        <v>164.13081111</v>
      </c>
      <c r="O82" s="82">
        <v>154.43321494</v>
      </c>
      <c r="P82" s="82">
        <v>203.26565507000001</v>
      </c>
      <c r="Q82" s="82">
        <v>216.72372501000001</v>
      </c>
      <c r="R82" s="82">
        <v>221.80352310999999</v>
      </c>
      <c r="S82" s="82">
        <v>215.31392289999999</v>
      </c>
      <c r="T82" s="82">
        <v>260.27320959000002</v>
      </c>
      <c r="U82" s="82">
        <v>277.76420666000001</v>
      </c>
      <c r="V82" s="82">
        <v>227.64632775999999</v>
      </c>
      <c r="W82" s="82">
        <v>238.38617185999999</v>
      </c>
      <c r="X82" s="82">
        <v>295.50453820000001</v>
      </c>
      <c r="Y82" s="82">
        <v>361.63171506999998</v>
      </c>
      <c r="Z82" s="82">
        <v>220.77227765000001</v>
      </c>
    </row>
    <row r="83" spans="1:26">
      <c r="B83" s="22" t="s">
        <v>320</v>
      </c>
      <c r="C83" s="138"/>
      <c r="D83" s="142" t="s">
        <v>47</v>
      </c>
      <c r="E83" s="82">
        <v>1.539174</v>
      </c>
      <c r="F83" s="82">
        <v>1.4099721300000001</v>
      </c>
      <c r="G83" s="82">
        <v>2.0007767200000002</v>
      </c>
      <c r="H83" s="82">
        <v>2.1022715500000002</v>
      </c>
      <c r="I83" s="82">
        <v>1.4752726300000001</v>
      </c>
      <c r="J83" s="82">
        <v>1.8200427299999999</v>
      </c>
      <c r="K83" s="82">
        <v>1.66474035</v>
      </c>
      <c r="L83" s="82">
        <v>1.1945356199999999</v>
      </c>
      <c r="M83" s="82">
        <v>1.84926876</v>
      </c>
      <c r="N83" s="82">
        <v>2.0206273600000002</v>
      </c>
      <c r="O83" s="82">
        <v>2.6664782100000002</v>
      </c>
      <c r="P83" s="82">
        <v>3.2281385600000001</v>
      </c>
      <c r="Q83" s="82">
        <v>3.22814332</v>
      </c>
      <c r="R83" s="82">
        <v>3.9222397199999999</v>
      </c>
      <c r="S83" s="82">
        <v>4.7259674699999996</v>
      </c>
      <c r="T83" s="82">
        <v>5.5357505199999997</v>
      </c>
      <c r="U83" s="82">
        <v>5.30899959</v>
      </c>
      <c r="V83" s="82">
        <v>4.8572239399999999</v>
      </c>
      <c r="W83" s="82">
        <v>5.1041150699999998</v>
      </c>
      <c r="X83" s="82">
        <v>6.29469893</v>
      </c>
      <c r="Y83" s="82">
        <v>5.53494712</v>
      </c>
      <c r="Z83" s="82">
        <v>3.9436226799999998</v>
      </c>
    </row>
    <row r="84" spans="1:26">
      <c r="B84" s="137"/>
      <c r="C84" s="138"/>
      <c r="D84" s="142"/>
      <c r="E84" s="82"/>
      <c r="F84" s="82"/>
      <c r="G84" s="82"/>
      <c r="H84" s="82"/>
      <c r="I84" s="82"/>
      <c r="J84" s="82"/>
      <c r="K84" s="82"/>
      <c r="L84" s="82"/>
      <c r="M84" s="82"/>
      <c r="N84" s="82"/>
      <c r="O84" s="82"/>
      <c r="P84" s="82"/>
      <c r="Q84" s="82"/>
      <c r="R84" s="82"/>
      <c r="S84" s="82"/>
      <c r="T84" s="82"/>
      <c r="U84" s="82"/>
      <c r="V84" s="82"/>
      <c r="W84" s="82"/>
      <c r="X84" s="82"/>
      <c r="Y84" s="82"/>
      <c r="Z84" s="82"/>
    </row>
    <row r="85" spans="1:26">
      <c r="B85" s="140" t="s">
        <v>87</v>
      </c>
      <c r="C85" s="141"/>
      <c r="D85" s="143" t="s">
        <v>47</v>
      </c>
      <c r="E85" s="82">
        <v>4094.3438070000002</v>
      </c>
      <c r="F85" s="82">
        <v>4009.8774755200002</v>
      </c>
      <c r="G85" s="82">
        <v>4111.08185572</v>
      </c>
      <c r="H85" s="82">
        <v>4033.86154627</v>
      </c>
      <c r="I85" s="82">
        <v>4295.8435652600001</v>
      </c>
      <c r="J85" s="82">
        <v>4422.9039424299999</v>
      </c>
      <c r="K85" s="82">
        <v>4471.0830989699998</v>
      </c>
      <c r="L85" s="82">
        <v>4225.3779228200001</v>
      </c>
      <c r="M85" s="82">
        <v>4431.4754830399997</v>
      </c>
      <c r="N85" s="82">
        <v>4202.2016546300001</v>
      </c>
      <c r="O85" s="82">
        <v>4116.2882123899999</v>
      </c>
      <c r="P85" s="82">
        <v>4596.1719793100001</v>
      </c>
      <c r="Q85" s="82">
        <v>5052.0150393599997</v>
      </c>
      <c r="R85" s="82">
        <v>5378.3877797100004</v>
      </c>
      <c r="S85" s="82">
        <v>5195.2502492399999</v>
      </c>
      <c r="T85" s="82">
        <v>5615.7893715600003</v>
      </c>
      <c r="U85" s="82">
        <v>5924.2911467800004</v>
      </c>
      <c r="V85" s="82">
        <v>5611.0969231500003</v>
      </c>
      <c r="W85" s="82">
        <v>5434.6697153499999</v>
      </c>
      <c r="X85" s="82">
        <v>6746.4937223999996</v>
      </c>
      <c r="Y85" s="82">
        <v>6865.5467633199996</v>
      </c>
      <c r="Z85" s="91">
        <v>6504.7496086800002</v>
      </c>
    </row>
    <row r="86" spans="1:26" ht="21" customHeight="1">
      <c r="A86" s="38" t="s">
        <v>2</v>
      </c>
      <c r="B86" s="38"/>
      <c r="C86" s="38"/>
      <c r="D86" s="38"/>
      <c r="E86" s="163" t="s">
        <v>404</v>
      </c>
      <c r="F86" s="163"/>
      <c r="G86" s="163"/>
      <c r="H86" s="163"/>
      <c r="I86" s="163"/>
      <c r="J86" s="163"/>
      <c r="K86" s="163"/>
      <c r="L86" s="163"/>
      <c r="M86" s="163"/>
      <c r="N86" s="163"/>
      <c r="O86" s="163"/>
      <c r="P86" s="163"/>
      <c r="Q86" s="163"/>
      <c r="R86" s="163"/>
      <c r="S86" s="163"/>
      <c r="T86" s="163"/>
      <c r="U86" s="163"/>
      <c r="V86" s="163"/>
      <c r="W86" s="163"/>
      <c r="X86" s="163"/>
      <c r="Y86" s="163"/>
      <c r="Z86" s="163"/>
    </row>
    <row r="87" spans="1:26">
      <c r="A87" t="s">
        <v>2</v>
      </c>
    </row>
  </sheetData>
  <mergeCells count="2">
    <mergeCell ref="A2:Y2"/>
    <mergeCell ref="E86:Z86"/>
  </mergeCells>
  <phoneticPr fontId="14" type="noConversion"/>
  <conditionalFormatting sqref="D23">
    <cfRule type="cellIs" dxfId="7" priority="1" operator="lessThan">
      <formula>0</formula>
    </cfRule>
  </conditionalFormatting>
  <conditionalFormatting sqref="D60">
    <cfRule type="cellIs" dxfId="6" priority="2" operator="lessThan">
      <formula>0</formula>
    </cfRule>
  </conditionalFormatting>
  <conditionalFormatting sqref="E5:Z85">
    <cfRule type="cellIs" dxfId="5" priority="3"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C8186-F3D2-4F08-903C-8D475C8F602A}">
  <dimension ref="A1:AB94"/>
  <sheetViews>
    <sheetView zoomScale="120" zoomScaleNormal="120" workbookViewId="0">
      <pane xSplit="4" ySplit="3" topLeftCell="S84" activePane="bottomRight" state="frozen"/>
      <selection activeCell="A13" sqref="A13:N13"/>
      <selection pane="topRight" activeCell="A13" sqref="A13:N13"/>
      <selection pane="bottomLeft" activeCell="A13" sqref="A13:N13"/>
      <selection pane="bottomRight" activeCell="A13" sqref="A13:N13"/>
    </sheetView>
  </sheetViews>
  <sheetFormatPr defaultColWidth="9.26953125" defaultRowHeight="14.5"/>
  <cols>
    <col min="1" max="2" width="3" customWidth="1"/>
    <col min="3" max="3" width="26" customWidth="1"/>
    <col min="4" max="4" width="6.7265625" style="61" bestFit="1" customWidth="1"/>
    <col min="5" max="10" width="8.26953125" bestFit="1" customWidth="1"/>
    <col min="11" max="11" width="9.1796875" bestFit="1" customWidth="1"/>
    <col min="12" max="18" width="8.26953125" bestFit="1" customWidth="1"/>
    <col min="19" max="23" width="9.1796875" bestFit="1" customWidth="1"/>
    <col min="24" max="27" width="9" customWidth="1"/>
  </cols>
  <sheetData>
    <row r="1" spans="1:27" ht="71.25" customHeight="1">
      <c r="A1" t="s">
        <v>2</v>
      </c>
    </row>
    <row r="2" spans="1:27" ht="21">
      <c r="A2" s="162" t="s">
        <v>400</v>
      </c>
      <c r="B2" s="162"/>
      <c r="C2" s="162"/>
      <c r="D2" s="162"/>
      <c r="E2" s="162"/>
      <c r="F2" s="162"/>
      <c r="G2" s="162"/>
      <c r="H2" s="162"/>
      <c r="I2" s="162"/>
      <c r="J2" s="162"/>
      <c r="K2" s="162"/>
      <c r="L2" s="162"/>
      <c r="M2" s="162"/>
      <c r="N2" s="162"/>
      <c r="O2" s="162"/>
      <c r="P2" s="162"/>
      <c r="Q2" s="162"/>
      <c r="R2" s="162"/>
      <c r="S2" s="162"/>
      <c r="T2" s="162"/>
      <c r="U2" s="162"/>
      <c r="V2" s="162"/>
      <c r="W2" s="162"/>
      <c r="X2" s="162"/>
      <c r="Y2" s="162"/>
    </row>
    <row r="3" spans="1:27" s="21" customFormat="1" ht="14.25" customHeight="1">
      <c r="A3" s="64" t="s">
        <v>38</v>
      </c>
      <c r="B3" s="64" t="s">
        <v>38</v>
      </c>
      <c r="C3" s="64" t="s">
        <v>38</v>
      </c>
      <c r="D3" s="66" t="s">
        <v>37</v>
      </c>
      <c r="E3" s="67" t="s">
        <v>297</v>
      </c>
      <c r="F3" s="67" t="s">
        <v>298</v>
      </c>
      <c r="G3" s="67" t="s">
        <v>299</v>
      </c>
      <c r="H3" s="67" t="s">
        <v>300</v>
      </c>
      <c r="I3" s="67" t="s">
        <v>281</v>
      </c>
      <c r="J3" s="67" t="s">
        <v>282</v>
      </c>
      <c r="K3" s="67" t="s">
        <v>283</v>
      </c>
      <c r="L3" s="67" t="s">
        <v>284</v>
      </c>
      <c r="M3" s="67" t="s">
        <v>285</v>
      </c>
      <c r="N3" s="67" t="s">
        <v>286</v>
      </c>
      <c r="O3" s="67" t="s">
        <v>287</v>
      </c>
      <c r="P3" s="67" t="s">
        <v>288</v>
      </c>
      <c r="Q3" s="67" t="s">
        <v>289</v>
      </c>
      <c r="R3" s="67" t="s">
        <v>290</v>
      </c>
      <c r="S3" s="67" t="s">
        <v>291</v>
      </c>
      <c r="T3" s="67" t="s">
        <v>292</v>
      </c>
      <c r="U3" s="67" t="s">
        <v>293</v>
      </c>
      <c r="V3" s="67" t="s">
        <v>294</v>
      </c>
      <c r="W3" s="67" t="s">
        <v>295</v>
      </c>
      <c r="X3" s="67" t="s">
        <v>305</v>
      </c>
      <c r="Y3" s="67" t="s">
        <v>313</v>
      </c>
      <c r="Z3" s="67" t="s">
        <v>328</v>
      </c>
    </row>
    <row r="4" spans="1:27">
      <c r="A4" s="145" t="s">
        <v>193</v>
      </c>
      <c r="B4" s="146"/>
      <c r="C4" s="147"/>
      <c r="D4" s="148"/>
    </row>
    <row r="5" spans="1:27">
      <c r="B5" s="131" t="s">
        <v>194</v>
      </c>
      <c r="C5" s="146"/>
      <c r="D5" s="147"/>
    </row>
    <row r="6" spans="1:27">
      <c r="B6" s="145"/>
      <c r="C6" s="146" t="s">
        <v>42</v>
      </c>
      <c r="D6" s="151" t="s">
        <v>346</v>
      </c>
      <c r="E6" s="82">
        <v>950.06200000000001</v>
      </c>
      <c r="F6" s="82">
        <v>1148.6400000000001</v>
      </c>
      <c r="G6" s="82">
        <v>653.49699999999996</v>
      </c>
      <c r="H6" s="82">
        <v>727.15300000000002</v>
      </c>
      <c r="I6" s="82">
        <v>975.85299999999995</v>
      </c>
      <c r="J6" s="82">
        <v>899.97218999999996</v>
      </c>
      <c r="K6" s="82">
        <v>764.71073999999999</v>
      </c>
      <c r="L6" s="82">
        <v>1125.9873299999999</v>
      </c>
      <c r="M6" s="82">
        <v>1402.3884399999999</v>
      </c>
      <c r="N6" s="82">
        <v>1644.2363700000001</v>
      </c>
      <c r="O6" s="82">
        <v>1388.45027</v>
      </c>
      <c r="P6" s="82">
        <v>2239.8635899999999</v>
      </c>
      <c r="Q6" s="82">
        <v>2497.5587599999999</v>
      </c>
      <c r="R6" s="82">
        <v>3309.5201200000001</v>
      </c>
      <c r="S6" s="82">
        <v>3855.82737</v>
      </c>
      <c r="T6" s="82">
        <v>3804.6965399999999</v>
      </c>
      <c r="U6" s="82">
        <v>3465.9839299999999</v>
      </c>
      <c r="V6" s="82">
        <v>3531.7764900000002</v>
      </c>
      <c r="W6" s="82">
        <v>2493.7884800000002</v>
      </c>
      <c r="X6" s="82">
        <v>711.59779000000003</v>
      </c>
      <c r="Y6" s="82">
        <v>370.38990000000001</v>
      </c>
      <c r="Z6" s="82">
        <v>705.03269999999998</v>
      </c>
      <c r="AA6" s="130"/>
    </row>
    <row r="7" spans="1:27">
      <c r="B7" s="145"/>
      <c r="C7" s="146" t="s">
        <v>61</v>
      </c>
      <c r="D7" s="151" t="s">
        <v>346</v>
      </c>
      <c r="E7" s="82">
        <v>237.58500000000001</v>
      </c>
      <c r="F7" s="82">
        <v>176.08500000000001</v>
      </c>
      <c r="G7" s="82">
        <v>144.28899999999999</v>
      </c>
      <c r="H7" s="82">
        <v>128.06</v>
      </c>
      <c r="I7" s="82">
        <v>189.459</v>
      </c>
      <c r="J7" s="82">
        <v>149.03395</v>
      </c>
      <c r="K7" s="82">
        <v>353.63826</v>
      </c>
      <c r="L7" s="82">
        <v>282.69551000000001</v>
      </c>
      <c r="M7" s="82">
        <v>248.58491000000001</v>
      </c>
      <c r="N7" s="82">
        <v>155.13363000000001</v>
      </c>
      <c r="O7" s="82">
        <v>120.44862999999999</v>
      </c>
      <c r="P7" s="82">
        <v>117.80858000000001</v>
      </c>
      <c r="Q7" s="82">
        <v>113.00734</v>
      </c>
      <c r="R7" s="82">
        <v>370.20659000000001</v>
      </c>
      <c r="S7" s="82">
        <v>463.75565</v>
      </c>
      <c r="T7" s="82">
        <v>687.39337999999998</v>
      </c>
      <c r="U7" s="82">
        <v>727.02589999999998</v>
      </c>
      <c r="V7" s="82">
        <v>580.01671999999996</v>
      </c>
      <c r="W7" s="82">
        <v>504.13637999999997</v>
      </c>
      <c r="X7" s="82">
        <v>376.28334000000001</v>
      </c>
      <c r="Y7" s="82">
        <v>281.3596</v>
      </c>
      <c r="Z7" s="82">
        <v>48.100920000000002</v>
      </c>
    </row>
    <row r="8" spans="1:27">
      <c r="B8" s="145"/>
      <c r="C8" s="146" t="s">
        <v>76</v>
      </c>
      <c r="D8" s="151" t="s">
        <v>346</v>
      </c>
      <c r="E8" s="82">
        <v>11.284000000000001</v>
      </c>
      <c r="F8" s="82">
        <v>10.409000000000001</v>
      </c>
      <c r="G8" s="82">
        <v>8.7140000000000004</v>
      </c>
      <c r="H8" s="82">
        <v>8.3490000000000002</v>
      </c>
      <c r="I8" s="82">
        <v>6.0949999999999998</v>
      </c>
      <c r="J8" s="82">
        <v>8.7183299999999999</v>
      </c>
      <c r="K8" s="82">
        <v>68.011340000000004</v>
      </c>
      <c r="L8" s="82">
        <v>5.8268700000000004</v>
      </c>
      <c r="M8" s="82">
        <v>64.102850000000004</v>
      </c>
      <c r="N8" s="82">
        <v>5.8426400000000003</v>
      </c>
      <c r="O8" s="82">
        <v>6.9032999999999998</v>
      </c>
      <c r="P8" s="82">
        <v>5.6113099999999996</v>
      </c>
      <c r="Q8" s="82">
        <v>5.8700099999999997</v>
      </c>
      <c r="R8" s="82">
        <v>4.8266799999999996</v>
      </c>
      <c r="S8" s="82">
        <v>2.9836499999999999</v>
      </c>
      <c r="T8" s="82">
        <v>1.84805</v>
      </c>
      <c r="U8" s="82">
        <v>2.7997999999999998</v>
      </c>
      <c r="V8" s="82">
        <v>3.9866100000000002</v>
      </c>
      <c r="W8" s="82">
        <v>0.58755000000000002</v>
      </c>
      <c r="X8" s="82">
        <v>0.99394000000000005</v>
      </c>
      <c r="Y8" s="82">
        <v>0.98036999999999996</v>
      </c>
      <c r="Z8" s="82">
        <v>1.42947</v>
      </c>
    </row>
    <row r="9" spans="1:27">
      <c r="B9" s="14"/>
      <c r="C9" s="12" t="s">
        <v>87</v>
      </c>
      <c r="D9" s="151" t="s">
        <v>346</v>
      </c>
      <c r="E9" s="82">
        <v>1198.931</v>
      </c>
      <c r="F9" s="82">
        <v>1335.134</v>
      </c>
      <c r="G9" s="82">
        <v>806.5</v>
      </c>
      <c r="H9" s="82">
        <v>863.56200000000001</v>
      </c>
      <c r="I9" s="82">
        <v>1171.4069999999999</v>
      </c>
      <c r="J9" s="82">
        <v>1057.7244700000001</v>
      </c>
      <c r="K9" s="82">
        <v>1186.36034</v>
      </c>
      <c r="L9" s="82">
        <v>1414.50971</v>
      </c>
      <c r="M9" s="82">
        <v>1715.0762</v>
      </c>
      <c r="N9" s="82">
        <v>1805.21264</v>
      </c>
      <c r="O9" s="82">
        <v>1515.8022000000001</v>
      </c>
      <c r="P9" s="82">
        <v>2363.2834800000001</v>
      </c>
      <c r="Q9" s="82">
        <v>2616.4361100000001</v>
      </c>
      <c r="R9" s="82">
        <v>3684.55339</v>
      </c>
      <c r="S9" s="82">
        <v>4322.5666700000002</v>
      </c>
      <c r="T9" s="82">
        <v>4493.93797</v>
      </c>
      <c r="U9" s="82">
        <v>4195.8096299999997</v>
      </c>
      <c r="V9" s="82">
        <v>4115.7798199999997</v>
      </c>
      <c r="W9" s="82">
        <v>2998.5124099999998</v>
      </c>
      <c r="X9" s="82">
        <v>1088.8750700000001</v>
      </c>
      <c r="Y9" s="82">
        <v>652.72987000000001</v>
      </c>
      <c r="Z9" s="82">
        <v>754.56308999999999</v>
      </c>
    </row>
    <row r="10" spans="1:27">
      <c r="B10" s="14"/>
      <c r="C10" s="12"/>
      <c r="D10" s="151"/>
      <c r="E10" s="82"/>
      <c r="F10" s="82"/>
      <c r="G10" s="82"/>
      <c r="H10" s="82"/>
      <c r="I10" s="82"/>
      <c r="J10" s="82"/>
      <c r="K10" s="82"/>
      <c r="L10" s="82"/>
      <c r="M10" s="82"/>
      <c r="N10" s="82"/>
      <c r="O10" s="82"/>
      <c r="P10" s="82"/>
      <c r="Q10" s="82"/>
      <c r="R10" s="82"/>
      <c r="S10" s="82"/>
      <c r="T10" s="82"/>
      <c r="U10" s="82"/>
      <c r="V10" s="82"/>
      <c r="W10" s="82"/>
      <c r="X10" s="82"/>
      <c r="Y10" s="82"/>
      <c r="Z10" s="82"/>
    </row>
    <row r="11" spans="1:27">
      <c r="B11" s="131" t="s">
        <v>49</v>
      </c>
      <c r="C11" s="147"/>
      <c r="D11" s="151"/>
      <c r="E11" s="82"/>
      <c r="F11" s="82"/>
      <c r="G11" s="82"/>
      <c r="H11" s="82"/>
      <c r="I11" s="82"/>
      <c r="J11" s="82"/>
      <c r="K11" s="82"/>
      <c r="L11" s="82"/>
      <c r="M11" s="82"/>
      <c r="N11" s="82"/>
      <c r="O11" s="82"/>
      <c r="P11" s="82"/>
      <c r="Q11" s="82"/>
      <c r="R11" s="82"/>
      <c r="S11" s="82"/>
      <c r="T11" s="82"/>
      <c r="U11" s="82"/>
      <c r="V11" s="82"/>
      <c r="W11" s="82"/>
      <c r="X11" s="82"/>
      <c r="Y11" s="82"/>
      <c r="Z11" s="82"/>
    </row>
    <row r="12" spans="1:27">
      <c r="B12" s="131"/>
      <c r="C12" s="11" t="s">
        <v>323</v>
      </c>
      <c r="D12" s="148" t="s">
        <v>346</v>
      </c>
      <c r="E12" s="82">
        <v>28.167999999999999</v>
      </c>
      <c r="F12" s="82">
        <v>56.551000000000002</v>
      </c>
      <c r="G12" s="82">
        <v>141.97300000000001</v>
      </c>
      <c r="H12" s="82">
        <v>226.36500000000001</v>
      </c>
      <c r="I12" s="82">
        <v>317.25400000000002</v>
      </c>
      <c r="J12" s="82">
        <v>258.47964000000002</v>
      </c>
      <c r="K12" s="82">
        <v>415.56411000000003</v>
      </c>
      <c r="L12" s="82">
        <v>328.67806000000002</v>
      </c>
      <c r="M12" s="82">
        <v>265.79834</v>
      </c>
      <c r="N12" s="82">
        <v>198.32541000000001</v>
      </c>
      <c r="O12" s="82">
        <v>209.04355000000001</v>
      </c>
      <c r="P12" s="82">
        <v>267.75098000000003</v>
      </c>
      <c r="Q12" s="82">
        <v>299.08143000000001</v>
      </c>
      <c r="R12" s="82">
        <v>247.21872999999999</v>
      </c>
      <c r="S12" s="82">
        <v>264.55336</v>
      </c>
      <c r="T12" s="82">
        <v>209.00969000000001</v>
      </c>
      <c r="U12" s="82">
        <v>170.74245999999999</v>
      </c>
      <c r="V12" s="82">
        <v>201.01347000000001</v>
      </c>
      <c r="W12" s="82">
        <v>126.42667</v>
      </c>
      <c r="X12" s="82">
        <v>88.559250000000006</v>
      </c>
      <c r="Y12" s="82">
        <v>109.85954</v>
      </c>
      <c r="Z12" s="82">
        <v>175.52732</v>
      </c>
    </row>
    <row r="13" spans="1:27">
      <c r="B13" s="131"/>
      <c r="C13" s="12" t="s">
        <v>205</v>
      </c>
      <c r="D13" s="148" t="s">
        <v>346</v>
      </c>
      <c r="E13" s="82">
        <v>7.8209999999999997</v>
      </c>
      <c r="F13" s="82">
        <v>9.4179999999999993</v>
      </c>
      <c r="G13" s="82">
        <v>16.658999999999999</v>
      </c>
      <c r="H13" s="82">
        <v>17.061</v>
      </c>
      <c r="I13" s="82">
        <v>43.165999999999997</v>
      </c>
      <c r="J13" s="82">
        <v>30.120280000000001</v>
      </c>
      <c r="K13" s="82">
        <v>21.546970000000002</v>
      </c>
      <c r="L13" s="82">
        <v>42.726979999999998</v>
      </c>
      <c r="M13" s="82">
        <v>8.0772600000000008</v>
      </c>
      <c r="N13" s="82">
        <v>2.6387499999999999</v>
      </c>
      <c r="O13" s="82">
        <v>0.48769000000000001</v>
      </c>
      <c r="P13" s="82">
        <v>2.3452199999999999</v>
      </c>
      <c r="Q13" s="82">
        <v>23.9575</v>
      </c>
      <c r="R13" s="82">
        <v>7.6091600000000001</v>
      </c>
      <c r="S13" s="82">
        <v>5.7635100000000001</v>
      </c>
      <c r="T13" s="82" t="s">
        <v>211</v>
      </c>
      <c r="U13" s="82" t="s">
        <v>211</v>
      </c>
      <c r="V13" s="82" t="s">
        <v>211</v>
      </c>
      <c r="W13" s="82" t="s">
        <v>211</v>
      </c>
      <c r="X13" s="82" t="s">
        <v>211</v>
      </c>
      <c r="Y13" s="82">
        <v>0</v>
      </c>
      <c r="Z13" s="82">
        <v>0</v>
      </c>
    </row>
    <row r="14" spans="1:27">
      <c r="B14" s="131"/>
      <c r="C14" s="12" t="s">
        <v>206</v>
      </c>
      <c r="D14" s="148" t="s">
        <v>346</v>
      </c>
      <c r="E14" s="82">
        <v>32.970999999999997</v>
      </c>
      <c r="F14" s="82">
        <v>27.805</v>
      </c>
      <c r="G14" s="82">
        <v>26.427</v>
      </c>
      <c r="H14" s="82">
        <v>30.981999999999999</v>
      </c>
      <c r="I14" s="82">
        <v>36.162999999999997</v>
      </c>
      <c r="J14" s="82">
        <v>39.616770000000002</v>
      </c>
      <c r="K14" s="82">
        <v>86.676789999999997</v>
      </c>
      <c r="L14" s="82">
        <v>290.77717999999999</v>
      </c>
      <c r="M14" s="82">
        <v>265.98275000000001</v>
      </c>
      <c r="N14" s="82">
        <v>26.283329999999999</v>
      </c>
      <c r="O14" s="82">
        <v>20.22719</v>
      </c>
      <c r="P14" s="82">
        <v>73.209879999999998</v>
      </c>
      <c r="Q14" s="82">
        <v>117.16742000000001</v>
      </c>
      <c r="R14" s="82">
        <v>19.068539999999999</v>
      </c>
      <c r="S14" s="82">
        <v>27.464469999999999</v>
      </c>
      <c r="T14" s="82">
        <v>29.57574</v>
      </c>
      <c r="U14" s="82">
        <v>20.64263</v>
      </c>
      <c r="V14" s="82">
        <v>28.647819999999999</v>
      </c>
      <c r="W14" s="82">
        <v>36.641350000000003</v>
      </c>
      <c r="X14" s="82">
        <v>18.34497</v>
      </c>
      <c r="Y14" s="82">
        <v>58.691650000000003</v>
      </c>
      <c r="Z14" s="82">
        <v>32.26314</v>
      </c>
    </row>
    <row r="15" spans="1:27">
      <c r="B15" s="131"/>
      <c r="C15" s="12" t="s">
        <v>198</v>
      </c>
      <c r="D15" s="148" t="s">
        <v>346</v>
      </c>
      <c r="E15" s="81">
        <v>4.3730000000000002</v>
      </c>
      <c r="F15" s="81">
        <v>4.7140000000000004</v>
      </c>
      <c r="G15" s="81">
        <v>7.2960000000000003</v>
      </c>
      <c r="H15" s="81">
        <v>6.1239999999999997</v>
      </c>
      <c r="I15" s="81">
        <v>6.9820000000000002</v>
      </c>
      <c r="J15" s="81">
        <v>19.772130000000001</v>
      </c>
      <c r="K15" s="81">
        <v>27.79645</v>
      </c>
      <c r="L15" s="81">
        <v>21.07264</v>
      </c>
      <c r="M15" s="81">
        <v>34.16019</v>
      </c>
      <c r="N15" s="81">
        <v>7.4771200000000002</v>
      </c>
      <c r="O15" s="81">
        <v>3.5293899999999998</v>
      </c>
      <c r="P15" s="81">
        <v>7.8775500000000003</v>
      </c>
      <c r="Q15" s="81">
        <v>3.9012600000000002</v>
      </c>
      <c r="R15" s="81">
        <v>8.1933100000000003</v>
      </c>
      <c r="S15" s="81">
        <v>3.3633500000000001</v>
      </c>
      <c r="T15" s="81">
        <v>1.9252499999999999</v>
      </c>
      <c r="U15" s="81">
        <v>8.2750299999999992</v>
      </c>
      <c r="V15" s="81">
        <v>5.0382100000000003</v>
      </c>
      <c r="W15" s="81">
        <v>10.26953</v>
      </c>
      <c r="X15" s="81">
        <v>24.744859999999999</v>
      </c>
      <c r="Y15" s="81">
        <v>61.363379999999999</v>
      </c>
      <c r="Z15" s="81">
        <v>44.142470000000003</v>
      </c>
    </row>
    <row r="16" spans="1:27">
      <c r="B16" s="131"/>
      <c r="C16" s="12" t="s">
        <v>87</v>
      </c>
      <c r="D16" s="148" t="s">
        <v>346</v>
      </c>
      <c r="E16" s="82">
        <v>73.332999999999998</v>
      </c>
      <c r="F16" s="82">
        <v>98.488</v>
      </c>
      <c r="G16" s="82">
        <v>192.35499999999999</v>
      </c>
      <c r="H16" s="82">
        <v>280.53199999999998</v>
      </c>
      <c r="I16" s="82">
        <v>403.565</v>
      </c>
      <c r="J16" s="82">
        <v>347.98881999999998</v>
      </c>
      <c r="K16" s="82">
        <v>551.58432000000005</v>
      </c>
      <c r="L16" s="82">
        <v>683.25486000000001</v>
      </c>
      <c r="M16" s="82">
        <v>574.01854000000003</v>
      </c>
      <c r="N16" s="82">
        <v>234.72461000000001</v>
      </c>
      <c r="O16" s="82">
        <v>233.28782000000001</v>
      </c>
      <c r="P16" s="82">
        <v>351.18362999999999</v>
      </c>
      <c r="Q16" s="82">
        <v>444.10761000000002</v>
      </c>
      <c r="R16" s="82">
        <v>282.08974000000001</v>
      </c>
      <c r="S16" s="82">
        <v>301.14469000000003</v>
      </c>
      <c r="T16" s="82">
        <v>240.51068000000001</v>
      </c>
      <c r="U16" s="82">
        <v>199.66012000000001</v>
      </c>
      <c r="V16" s="82">
        <v>234.6995</v>
      </c>
      <c r="W16" s="82">
        <v>173.33754999999999</v>
      </c>
      <c r="X16" s="82">
        <v>131.64908</v>
      </c>
      <c r="Y16" s="82">
        <v>229.91457</v>
      </c>
      <c r="Z16" s="82">
        <v>251.93293</v>
      </c>
    </row>
    <row r="17" spans="2:26">
      <c r="B17" s="131" t="s">
        <v>207</v>
      </c>
      <c r="C17" s="12"/>
      <c r="D17" s="148" t="s">
        <v>346</v>
      </c>
      <c r="E17" s="81">
        <v>17.568999999999999</v>
      </c>
      <c r="F17" s="81">
        <v>8.9179999999999993</v>
      </c>
      <c r="G17" s="81">
        <v>10.507</v>
      </c>
      <c r="H17" s="81">
        <v>9.1750000000000007</v>
      </c>
      <c r="I17" s="81">
        <v>10.541</v>
      </c>
      <c r="J17" s="81">
        <v>10.7532</v>
      </c>
      <c r="K17" s="81">
        <v>33.645110000000003</v>
      </c>
      <c r="L17" s="81">
        <v>62.301299999999998</v>
      </c>
      <c r="M17" s="81">
        <v>10.977359999999999</v>
      </c>
      <c r="N17" s="81">
        <v>8.9140599999999992</v>
      </c>
      <c r="O17" s="81">
        <v>28.705120000000001</v>
      </c>
      <c r="P17" s="81">
        <v>16.970610000000001</v>
      </c>
      <c r="Q17" s="81">
        <v>13.923780000000001</v>
      </c>
      <c r="R17" s="81">
        <v>7.4348200000000002</v>
      </c>
      <c r="S17" s="81">
        <v>6.2503799999999998</v>
      </c>
      <c r="T17" s="81">
        <v>8.9750099999999993</v>
      </c>
      <c r="U17" s="81">
        <v>2.2656000000000001</v>
      </c>
      <c r="V17" s="81">
        <v>0.68776000000000004</v>
      </c>
      <c r="W17" s="81">
        <v>2.3042099999999999</v>
      </c>
      <c r="X17" s="81">
        <v>0.46115</v>
      </c>
      <c r="Y17" s="81">
        <v>0.38461000000000001</v>
      </c>
      <c r="Z17" s="81">
        <v>0.51290999999999998</v>
      </c>
    </row>
    <row r="18" spans="2:26">
      <c r="B18" s="131"/>
      <c r="C18" s="12"/>
      <c r="D18" s="148"/>
      <c r="E18" s="82"/>
      <c r="F18" s="82"/>
      <c r="G18" s="82"/>
      <c r="H18" s="82"/>
      <c r="I18" s="82"/>
      <c r="J18" s="82"/>
      <c r="K18" s="82"/>
      <c r="L18" s="82"/>
      <c r="M18" s="82"/>
      <c r="N18" s="82"/>
      <c r="O18" s="82"/>
      <c r="P18" s="82"/>
      <c r="Q18" s="82"/>
      <c r="R18" s="82"/>
      <c r="S18" s="82"/>
      <c r="T18" s="82"/>
      <c r="U18" s="82"/>
      <c r="V18" s="82"/>
      <c r="W18" s="82"/>
      <c r="X18" s="82"/>
      <c r="Y18" s="82"/>
      <c r="Z18" s="82"/>
    </row>
    <row r="19" spans="2:26">
      <c r="B19" s="131" t="s">
        <v>208</v>
      </c>
      <c r="C19" s="12"/>
      <c r="D19" s="148"/>
      <c r="E19" s="82"/>
      <c r="F19" s="82"/>
      <c r="G19" s="82"/>
      <c r="H19" s="82"/>
      <c r="I19" s="82"/>
      <c r="J19" s="82"/>
      <c r="K19" s="82"/>
      <c r="L19" s="82"/>
      <c r="M19" s="82"/>
      <c r="N19" s="82"/>
      <c r="O19" s="82"/>
      <c r="P19" s="82"/>
      <c r="Q19" s="82"/>
      <c r="R19" s="82"/>
      <c r="S19" s="82"/>
      <c r="T19" s="82"/>
      <c r="U19" s="82"/>
      <c r="V19" s="82"/>
      <c r="W19" s="82"/>
      <c r="X19" s="82"/>
      <c r="Y19" s="82"/>
      <c r="Z19" s="82"/>
    </row>
    <row r="20" spans="2:26">
      <c r="B20" s="131"/>
      <c r="C20" s="11" t="s">
        <v>322</v>
      </c>
      <c r="D20" s="148" t="s">
        <v>210</v>
      </c>
      <c r="E20" s="82">
        <v>99.605999999999995</v>
      </c>
      <c r="F20" s="82">
        <v>163.72999999999999</v>
      </c>
      <c r="G20" s="82">
        <v>111.325</v>
      </c>
      <c r="H20" s="82">
        <v>127.286</v>
      </c>
      <c r="I20" s="82">
        <v>83.385000000000005</v>
      </c>
      <c r="J20" s="82">
        <v>76.20684</v>
      </c>
      <c r="K20" s="82">
        <v>51.995570000000001</v>
      </c>
      <c r="L20" s="82">
        <v>113.92487</v>
      </c>
      <c r="M20" s="82">
        <v>226.33960999999999</v>
      </c>
      <c r="N20" s="82">
        <v>294.07382999999999</v>
      </c>
      <c r="O20" s="82">
        <v>272.85676000000001</v>
      </c>
      <c r="P20" s="82">
        <v>303.80822999999998</v>
      </c>
      <c r="Q20" s="82">
        <v>315.09710000000001</v>
      </c>
      <c r="R20" s="82">
        <v>427.49106999999998</v>
      </c>
      <c r="S20" s="82">
        <v>397.26679000000001</v>
      </c>
      <c r="T20" s="82">
        <v>348.10363999999998</v>
      </c>
      <c r="U20" s="82">
        <v>293.55005999999997</v>
      </c>
      <c r="V20" s="82">
        <v>271.53199000000001</v>
      </c>
      <c r="W20" s="82">
        <v>283.90413000000001</v>
      </c>
      <c r="X20" s="82">
        <v>287.68484999999998</v>
      </c>
      <c r="Y20" s="82">
        <v>257.97176000000002</v>
      </c>
      <c r="Z20" s="82">
        <v>163.46034</v>
      </c>
    </row>
    <row r="21" spans="2:26">
      <c r="B21" s="131"/>
      <c r="C21" s="11" t="s">
        <v>209</v>
      </c>
      <c r="D21" s="148" t="s">
        <v>210</v>
      </c>
      <c r="E21" s="82">
        <v>0</v>
      </c>
      <c r="F21" s="82">
        <v>0</v>
      </c>
      <c r="G21" s="82">
        <v>0</v>
      </c>
      <c r="H21" s="82">
        <v>0</v>
      </c>
      <c r="I21" s="82">
        <v>0</v>
      </c>
      <c r="J21" s="82">
        <v>0</v>
      </c>
      <c r="K21" s="82">
        <v>0</v>
      </c>
      <c r="L21" s="82">
        <v>0</v>
      </c>
      <c r="M21" s="82">
        <v>83.604100000000003</v>
      </c>
      <c r="N21" s="82">
        <v>282.39980000000003</v>
      </c>
      <c r="O21" s="82">
        <v>515.59789999999998</v>
      </c>
      <c r="P21" s="82">
        <v>484.04113000000001</v>
      </c>
      <c r="Q21" s="82">
        <v>566.65665000000001</v>
      </c>
      <c r="R21" s="82">
        <v>688.24803999999995</v>
      </c>
      <c r="S21" s="82">
        <v>595.00966000000005</v>
      </c>
      <c r="T21" s="82">
        <v>939.69496000000004</v>
      </c>
      <c r="U21" s="82">
        <v>827.71241999999995</v>
      </c>
      <c r="V21" s="82">
        <v>763.66886999999997</v>
      </c>
      <c r="W21" s="82">
        <v>930.06827999999996</v>
      </c>
      <c r="X21" s="82">
        <v>783.47739000000001</v>
      </c>
      <c r="Y21" s="82">
        <v>362.31094999999999</v>
      </c>
      <c r="Z21" s="82">
        <v>528.43562999999995</v>
      </c>
    </row>
    <row r="22" spans="2:26">
      <c r="B22" s="137"/>
      <c r="C22" s="139"/>
      <c r="D22" s="142"/>
      <c r="E22" s="82"/>
      <c r="F22" s="82"/>
      <c r="G22" s="82"/>
      <c r="H22" s="82"/>
      <c r="I22" s="82"/>
      <c r="J22" s="82"/>
      <c r="K22" s="82"/>
      <c r="L22" s="82"/>
      <c r="M22" s="82"/>
      <c r="N22" s="82"/>
      <c r="O22" s="82"/>
      <c r="P22" s="82"/>
      <c r="Q22" s="82"/>
      <c r="R22" s="82"/>
      <c r="S22" s="82"/>
      <c r="T22" s="82"/>
      <c r="U22" s="82"/>
      <c r="V22" s="82"/>
      <c r="W22" s="82"/>
      <c r="X22" s="82"/>
      <c r="Y22" s="82"/>
      <c r="Z22" s="82"/>
    </row>
    <row r="23" spans="2:26">
      <c r="B23" s="137" t="s">
        <v>340</v>
      </c>
      <c r="C23" s="139"/>
      <c r="D23" s="82"/>
      <c r="E23" s="82"/>
      <c r="F23" s="82"/>
      <c r="G23" s="82"/>
      <c r="H23" s="82"/>
      <c r="I23" s="82"/>
      <c r="J23" s="82"/>
      <c r="K23" s="82"/>
      <c r="L23" s="82"/>
      <c r="M23" s="82"/>
      <c r="N23" s="82"/>
      <c r="O23" s="82"/>
      <c r="P23" s="82"/>
      <c r="Q23" s="82"/>
      <c r="R23" s="82"/>
      <c r="S23" s="82"/>
      <c r="T23" s="82"/>
      <c r="U23" s="82"/>
      <c r="V23" s="82"/>
      <c r="W23" s="82"/>
      <c r="X23" s="82"/>
      <c r="Y23" s="82"/>
      <c r="Z23" s="82"/>
    </row>
    <row r="24" spans="2:26">
      <c r="B24" s="137"/>
      <c r="C24" s="139" t="s">
        <v>199</v>
      </c>
      <c r="D24" s="142" t="s">
        <v>346</v>
      </c>
      <c r="E24" s="81">
        <v>6.4445463060995101</v>
      </c>
      <c r="F24" s="81">
        <v>8.3556623968726491</v>
      </c>
      <c r="G24" s="81">
        <v>3.7217401767731602</v>
      </c>
      <c r="H24" s="81">
        <v>2.9284081390919199</v>
      </c>
      <c r="I24" s="81">
        <v>3.85896618329105</v>
      </c>
      <c r="J24" s="81">
        <v>34.765669531280601</v>
      </c>
      <c r="K24" s="81">
        <v>85.743956012619194</v>
      </c>
      <c r="L24" s="81">
        <v>89.787422824673499</v>
      </c>
      <c r="M24" s="82">
        <v>123.238009433491</v>
      </c>
      <c r="N24" s="81">
        <v>105.621109056733</v>
      </c>
      <c r="O24" s="81">
        <v>51.602373010981097</v>
      </c>
      <c r="P24" s="81">
        <v>63.737782667382099</v>
      </c>
      <c r="Q24" s="81">
        <v>50.115415800354498</v>
      </c>
      <c r="R24" s="81">
        <v>45.182069666033101</v>
      </c>
      <c r="S24" s="81">
        <v>78.129968150974193</v>
      </c>
      <c r="T24" s="81">
        <v>67.087298226475497</v>
      </c>
      <c r="U24" s="81">
        <v>40.533233585225297</v>
      </c>
      <c r="V24" s="81">
        <v>40.498565823578602</v>
      </c>
      <c r="W24" s="81">
        <v>12.717749764060599</v>
      </c>
      <c r="X24" s="81">
        <v>1.3153926424778</v>
      </c>
      <c r="Y24" s="81">
        <v>0.55122816618193204</v>
      </c>
      <c r="Z24" s="81">
        <v>0.66327889150405595</v>
      </c>
    </row>
    <row r="25" spans="2:26">
      <c r="B25" s="137"/>
      <c r="C25" s="139" t="s">
        <v>183</v>
      </c>
      <c r="D25" s="142" t="s">
        <v>346</v>
      </c>
      <c r="E25" s="81">
        <v>6.1340000000000003</v>
      </c>
      <c r="F25" s="81">
        <v>3.4049999999999998</v>
      </c>
      <c r="G25" s="81">
        <v>5.1369999999999996</v>
      </c>
      <c r="H25" s="81">
        <v>4.3179999999999996</v>
      </c>
      <c r="I25" s="81">
        <v>13.186</v>
      </c>
      <c r="J25" s="81">
        <v>22.373200000000001</v>
      </c>
      <c r="K25" s="81">
        <v>98.508030000000005</v>
      </c>
      <c r="L25" s="81">
        <v>87.93056</v>
      </c>
      <c r="M25" s="82">
        <v>103.22856</v>
      </c>
      <c r="N25" s="81">
        <v>63.604930000000003</v>
      </c>
      <c r="O25" s="81">
        <v>36.37106</v>
      </c>
      <c r="P25" s="81">
        <v>35.782499999999999</v>
      </c>
      <c r="Q25" s="81">
        <v>13.862629999999999</v>
      </c>
      <c r="R25" s="81">
        <v>30.534569999999999</v>
      </c>
      <c r="S25" s="81">
        <v>36.521140000000003</v>
      </c>
      <c r="T25" s="81">
        <v>37.004080000000002</v>
      </c>
      <c r="U25" s="81">
        <v>8.5836699999999997</v>
      </c>
      <c r="V25" s="81">
        <v>28.4269</v>
      </c>
      <c r="W25" s="81">
        <v>24.290209999999998</v>
      </c>
      <c r="X25" s="81">
        <v>150.88238000000001</v>
      </c>
      <c r="Y25" s="81">
        <v>93.474299999999999</v>
      </c>
      <c r="Z25" s="81">
        <v>137.00003000000001</v>
      </c>
    </row>
    <row r="26" spans="2:26">
      <c r="B26" s="137"/>
      <c r="C26" s="139" t="s">
        <v>184</v>
      </c>
      <c r="D26" s="142" t="s">
        <v>346</v>
      </c>
      <c r="E26" s="81">
        <v>1.5129999999999999</v>
      </c>
      <c r="F26" s="81">
        <v>0.99299999999999999</v>
      </c>
      <c r="G26" s="81">
        <v>1.3740000000000001</v>
      </c>
      <c r="H26" s="81">
        <v>3.395</v>
      </c>
      <c r="I26" s="81">
        <v>7.0810000000000004</v>
      </c>
      <c r="J26" s="81">
        <v>6.0141999999999998</v>
      </c>
      <c r="K26" s="81">
        <v>40.562980000000003</v>
      </c>
      <c r="L26" s="81">
        <v>30.864799999999999</v>
      </c>
      <c r="M26" s="81">
        <v>47.192630000000001</v>
      </c>
      <c r="N26" s="81">
        <v>5.2242499999999996</v>
      </c>
      <c r="O26" s="81">
        <v>1.89262</v>
      </c>
      <c r="P26" s="81">
        <v>5.5339600000000004</v>
      </c>
      <c r="Q26" s="81">
        <v>11.25342</v>
      </c>
      <c r="R26" s="81">
        <v>10.820830000000001</v>
      </c>
      <c r="S26" s="81">
        <v>4.7393000000000001</v>
      </c>
      <c r="T26" s="81">
        <v>7.3321399999999999</v>
      </c>
      <c r="U26" s="81">
        <v>10.701169999999999</v>
      </c>
      <c r="V26" s="81">
        <v>12.998250000000001</v>
      </c>
      <c r="W26" s="81">
        <v>34.229349999999997</v>
      </c>
      <c r="X26" s="81">
        <v>33.840490000000003</v>
      </c>
      <c r="Y26" s="81">
        <v>38.664479999999998</v>
      </c>
      <c r="Z26" s="81">
        <v>17.144680000000001</v>
      </c>
    </row>
    <row r="27" spans="2:26">
      <c r="B27" s="137"/>
      <c r="C27" s="139" t="s">
        <v>200</v>
      </c>
      <c r="D27" s="142" t="s">
        <v>346</v>
      </c>
      <c r="E27" s="81">
        <v>7.9240000000000004</v>
      </c>
      <c r="F27" s="81">
        <v>11.709</v>
      </c>
      <c r="G27" s="81">
        <v>7.8739999999999997</v>
      </c>
      <c r="H27" s="81">
        <v>7.3780000000000001</v>
      </c>
      <c r="I27" s="81">
        <v>4.4009999999999998</v>
      </c>
      <c r="J27" s="81">
        <v>0.37119000000000002</v>
      </c>
      <c r="K27" s="81">
        <v>6.8185099999999998</v>
      </c>
      <c r="L27" s="81">
        <v>3.49743</v>
      </c>
      <c r="M27" s="81">
        <v>6.4239800000000002</v>
      </c>
      <c r="N27" s="81">
        <v>1.8683000000000001</v>
      </c>
      <c r="O27" s="81">
        <v>2.3965800000000002</v>
      </c>
      <c r="P27" s="81">
        <v>2.69848</v>
      </c>
      <c r="Q27" s="81">
        <v>10.905760000000001</v>
      </c>
      <c r="R27" s="81">
        <v>21.340109999999999</v>
      </c>
      <c r="S27" s="81">
        <v>3.8848600000000002</v>
      </c>
      <c r="T27" s="81">
        <v>2.22681</v>
      </c>
      <c r="U27" s="81">
        <v>2.9928400000000002</v>
      </c>
      <c r="V27" s="81">
        <v>6.0473600000000003</v>
      </c>
      <c r="W27" s="81">
        <v>3.2861099999999999</v>
      </c>
      <c r="X27" s="81">
        <v>9.6364199999999993</v>
      </c>
      <c r="Y27" s="81">
        <v>14.91361</v>
      </c>
      <c r="Z27" s="81">
        <v>16.365559999999999</v>
      </c>
    </row>
    <row r="28" spans="2:26">
      <c r="B28" s="137"/>
      <c r="C28" s="11" t="s">
        <v>324</v>
      </c>
      <c r="D28" s="142" t="s">
        <v>346</v>
      </c>
      <c r="E28" s="82">
        <v>415.11200000000002</v>
      </c>
      <c r="F28" s="82">
        <v>407.928</v>
      </c>
      <c r="G28" s="82">
        <v>465.18</v>
      </c>
      <c r="H28" s="82">
        <v>433.803</v>
      </c>
      <c r="I28" s="82">
        <v>290.80099999999999</v>
      </c>
      <c r="J28" s="82">
        <v>238.96141</v>
      </c>
      <c r="K28" s="82">
        <v>275.91712000000001</v>
      </c>
      <c r="L28" s="82">
        <v>165.69254000000001</v>
      </c>
      <c r="M28" s="82">
        <v>133.08870999999999</v>
      </c>
      <c r="N28" s="81">
        <v>85.515500000000003</v>
      </c>
      <c r="O28" s="81">
        <v>52.419899999999998</v>
      </c>
      <c r="P28" s="81">
        <v>154.12429</v>
      </c>
      <c r="Q28" s="82">
        <v>141.33359999999999</v>
      </c>
      <c r="R28" s="81">
        <v>85.179460000000006</v>
      </c>
      <c r="S28" s="81">
        <v>66.164289999999994</v>
      </c>
      <c r="T28" s="81">
        <v>41.194110000000002</v>
      </c>
      <c r="U28" s="81">
        <v>45.754399999999997</v>
      </c>
      <c r="V28" s="81">
        <v>59.640129999999999</v>
      </c>
      <c r="W28" s="81">
        <v>52.817259999999997</v>
      </c>
      <c r="X28" s="81">
        <v>78.757379999999998</v>
      </c>
      <c r="Y28" s="81">
        <v>115.5643</v>
      </c>
      <c r="Z28" s="81">
        <v>86.026709999999994</v>
      </c>
    </row>
    <row r="29" spans="2:26">
      <c r="B29" s="137"/>
      <c r="C29" s="139" t="s">
        <v>201</v>
      </c>
      <c r="D29" s="142" t="s">
        <v>346</v>
      </c>
      <c r="E29" s="81">
        <v>26.92</v>
      </c>
      <c r="F29" s="81">
        <v>17.673999999999999</v>
      </c>
      <c r="G29" s="81">
        <v>14.609</v>
      </c>
      <c r="H29" s="81">
        <v>11.35</v>
      </c>
      <c r="I29" s="81">
        <v>10.169</v>
      </c>
      <c r="J29" s="81">
        <v>15.727270000000001</v>
      </c>
      <c r="K29" s="81">
        <v>26.409770000000002</v>
      </c>
      <c r="L29" s="81">
        <v>5.2056399999999998</v>
      </c>
      <c r="M29" s="81">
        <v>12.94425</v>
      </c>
      <c r="N29" s="81">
        <v>20.125990000000002</v>
      </c>
      <c r="O29" s="81">
        <v>1.1232</v>
      </c>
      <c r="P29" s="81">
        <v>0.91803000000000001</v>
      </c>
      <c r="Q29" s="81">
        <v>21.365870000000001</v>
      </c>
      <c r="R29" s="81">
        <v>3.9171999999999998</v>
      </c>
      <c r="S29" s="81">
        <v>1.1856199999999999</v>
      </c>
      <c r="T29" s="81">
        <v>3.2862800000000001</v>
      </c>
      <c r="U29" s="81">
        <v>15.606999999999999</v>
      </c>
      <c r="V29" s="81">
        <v>2.8355100000000002</v>
      </c>
      <c r="W29" s="81">
        <v>6.2090100000000001</v>
      </c>
      <c r="X29" s="81">
        <v>22.867889999999999</v>
      </c>
      <c r="Y29" s="81">
        <v>12.98451</v>
      </c>
      <c r="Z29" s="81">
        <v>24.8278</v>
      </c>
    </row>
    <row r="30" spans="2:26">
      <c r="B30" s="137"/>
      <c r="C30" s="139" t="s">
        <v>341</v>
      </c>
      <c r="D30" s="142" t="s">
        <v>346</v>
      </c>
      <c r="E30" s="82" t="s">
        <v>211</v>
      </c>
      <c r="F30" s="82" t="s">
        <v>211</v>
      </c>
      <c r="G30" s="82" t="s">
        <v>211</v>
      </c>
      <c r="H30" s="82" t="s">
        <v>211</v>
      </c>
      <c r="I30" s="82" t="s">
        <v>211</v>
      </c>
      <c r="J30" s="82" t="s">
        <v>211</v>
      </c>
      <c r="K30" s="82" t="s">
        <v>211</v>
      </c>
      <c r="L30" s="82" t="s">
        <v>211</v>
      </c>
      <c r="M30" s="82" t="s">
        <v>211</v>
      </c>
      <c r="N30" s="82" t="s">
        <v>211</v>
      </c>
      <c r="O30" s="82" t="s">
        <v>211</v>
      </c>
      <c r="P30" s="82" t="s">
        <v>211</v>
      </c>
      <c r="Q30" s="82" t="s">
        <v>211</v>
      </c>
      <c r="R30" s="82" t="s">
        <v>211</v>
      </c>
      <c r="S30" s="82" t="s">
        <v>211</v>
      </c>
      <c r="T30" s="82" t="s">
        <v>211</v>
      </c>
      <c r="U30" s="82" t="s">
        <v>211</v>
      </c>
      <c r="V30" s="82" t="s">
        <v>211</v>
      </c>
      <c r="W30" s="82" t="s">
        <v>211</v>
      </c>
      <c r="X30" s="82" t="s">
        <v>211</v>
      </c>
      <c r="Y30" s="82" t="s">
        <v>211</v>
      </c>
      <c r="Z30" s="82" t="s">
        <v>211</v>
      </c>
    </row>
    <row r="31" spans="2:26">
      <c r="B31" s="137"/>
      <c r="C31" s="139" t="s">
        <v>347</v>
      </c>
      <c r="D31" s="142" t="s">
        <v>346</v>
      </c>
      <c r="E31" s="82" t="s">
        <v>211</v>
      </c>
      <c r="F31" s="82" t="s">
        <v>211</v>
      </c>
      <c r="G31" s="82" t="s">
        <v>211</v>
      </c>
      <c r="H31" s="82" t="s">
        <v>211</v>
      </c>
      <c r="I31" s="82" t="s">
        <v>211</v>
      </c>
      <c r="J31" s="82" t="s">
        <v>211</v>
      </c>
      <c r="K31" s="82" t="s">
        <v>211</v>
      </c>
      <c r="L31" s="82" t="s">
        <v>211</v>
      </c>
      <c r="M31" s="82" t="s">
        <v>211</v>
      </c>
      <c r="N31" s="82" t="s">
        <v>211</v>
      </c>
      <c r="O31" s="82" t="s">
        <v>211</v>
      </c>
      <c r="P31" s="82" t="s">
        <v>211</v>
      </c>
      <c r="Q31" s="82" t="s">
        <v>211</v>
      </c>
      <c r="R31" s="82" t="s">
        <v>211</v>
      </c>
      <c r="S31" s="82" t="s">
        <v>211</v>
      </c>
      <c r="T31" s="82" t="s">
        <v>211</v>
      </c>
      <c r="U31" s="82" t="s">
        <v>211</v>
      </c>
      <c r="V31" s="82" t="s">
        <v>211</v>
      </c>
      <c r="W31" s="82" t="s">
        <v>211</v>
      </c>
      <c r="X31" s="82" t="s">
        <v>211</v>
      </c>
      <c r="Y31" s="82" t="s">
        <v>211</v>
      </c>
      <c r="Z31" s="82" t="s">
        <v>211</v>
      </c>
    </row>
    <row r="32" spans="2:26">
      <c r="C32" s="139" t="s">
        <v>343</v>
      </c>
      <c r="D32" s="142" t="s">
        <v>346</v>
      </c>
      <c r="E32" s="82" t="s">
        <v>211</v>
      </c>
      <c r="F32" s="82" t="s">
        <v>211</v>
      </c>
      <c r="G32" s="82" t="s">
        <v>211</v>
      </c>
      <c r="H32" s="82" t="s">
        <v>211</v>
      </c>
      <c r="I32" s="82" t="s">
        <v>211</v>
      </c>
      <c r="J32" s="82" t="s">
        <v>211</v>
      </c>
      <c r="K32" s="82" t="s">
        <v>211</v>
      </c>
      <c r="L32" s="82" t="s">
        <v>211</v>
      </c>
      <c r="M32" s="82" t="s">
        <v>211</v>
      </c>
      <c r="N32" s="82" t="s">
        <v>211</v>
      </c>
      <c r="O32" s="82" t="s">
        <v>211</v>
      </c>
      <c r="P32" s="82" t="s">
        <v>211</v>
      </c>
      <c r="Q32" s="82" t="s">
        <v>211</v>
      </c>
      <c r="R32" s="82" t="s">
        <v>211</v>
      </c>
      <c r="S32" s="82" t="s">
        <v>211</v>
      </c>
      <c r="T32" s="82" t="s">
        <v>211</v>
      </c>
      <c r="U32" s="82" t="s">
        <v>211</v>
      </c>
      <c r="V32" s="82" t="s">
        <v>211</v>
      </c>
      <c r="W32" s="82" t="s">
        <v>211</v>
      </c>
      <c r="X32" s="82" t="s">
        <v>211</v>
      </c>
      <c r="Y32" s="82" t="s">
        <v>211</v>
      </c>
      <c r="Z32" s="82" t="s">
        <v>211</v>
      </c>
    </row>
    <row r="33" spans="1:26">
      <c r="C33" s="139" t="s">
        <v>348</v>
      </c>
      <c r="D33" s="142" t="s">
        <v>346</v>
      </c>
      <c r="E33" s="82" t="s">
        <v>211</v>
      </c>
      <c r="F33" s="82" t="s">
        <v>211</v>
      </c>
      <c r="G33" s="82" t="s">
        <v>211</v>
      </c>
      <c r="H33" s="82" t="s">
        <v>211</v>
      </c>
      <c r="I33" s="82" t="s">
        <v>211</v>
      </c>
      <c r="J33" s="82" t="s">
        <v>211</v>
      </c>
      <c r="K33" s="82" t="s">
        <v>211</v>
      </c>
      <c r="L33" s="82" t="s">
        <v>211</v>
      </c>
      <c r="M33" s="82" t="s">
        <v>211</v>
      </c>
      <c r="N33" s="82" t="s">
        <v>211</v>
      </c>
      <c r="O33" s="82" t="s">
        <v>211</v>
      </c>
      <c r="P33" s="82" t="s">
        <v>211</v>
      </c>
      <c r="Q33" s="82" t="s">
        <v>211</v>
      </c>
      <c r="R33" s="82" t="s">
        <v>211</v>
      </c>
      <c r="S33" s="82" t="s">
        <v>211</v>
      </c>
      <c r="T33" s="82" t="s">
        <v>211</v>
      </c>
      <c r="U33" s="82" t="s">
        <v>211</v>
      </c>
      <c r="V33" s="82" t="s">
        <v>211</v>
      </c>
      <c r="W33" s="82" t="s">
        <v>211</v>
      </c>
      <c r="X33" s="82" t="s">
        <v>211</v>
      </c>
      <c r="Y33" s="82" t="s">
        <v>211</v>
      </c>
      <c r="Z33" s="82" t="s">
        <v>211</v>
      </c>
    </row>
    <row r="34" spans="1:26">
      <c r="C34" s="139" t="s">
        <v>345</v>
      </c>
      <c r="D34" s="142" t="s">
        <v>346</v>
      </c>
      <c r="E34" s="82" t="s">
        <v>211</v>
      </c>
      <c r="F34" s="82" t="s">
        <v>211</v>
      </c>
      <c r="G34" s="82" t="s">
        <v>211</v>
      </c>
      <c r="H34" s="82" t="s">
        <v>211</v>
      </c>
      <c r="I34" s="82" t="s">
        <v>211</v>
      </c>
      <c r="J34" s="82" t="s">
        <v>211</v>
      </c>
      <c r="K34" s="82" t="s">
        <v>211</v>
      </c>
      <c r="L34" s="82" t="s">
        <v>211</v>
      </c>
      <c r="M34" s="82" t="s">
        <v>211</v>
      </c>
      <c r="N34" s="82" t="s">
        <v>211</v>
      </c>
      <c r="O34" s="82" t="s">
        <v>211</v>
      </c>
      <c r="P34" s="82" t="s">
        <v>211</v>
      </c>
      <c r="Q34" s="82" t="s">
        <v>211</v>
      </c>
      <c r="R34" s="82" t="s">
        <v>211</v>
      </c>
      <c r="S34" s="82" t="s">
        <v>211</v>
      </c>
      <c r="T34" s="82" t="s">
        <v>211</v>
      </c>
      <c r="U34" s="82" t="s">
        <v>211</v>
      </c>
      <c r="V34" s="82" t="s">
        <v>211</v>
      </c>
      <c r="W34" s="82" t="s">
        <v>211</v>
      </c>
      <c r="X34" s="82" t="s">
        <v>211</v>
      </c>
      <c r="Y34" s="82" t="s">
        <v>211</v>
      </c>
      <c r="Z34" s="82" t="s">
        <v>211</v>
      </c>
    </row>
    <row r="35" spans="1:26">
      <c r="C35" s="139" t="s">
        <v>87</v>
      </c>
      <c r="D35" s="142" t="s">
        <v>346</v>
      </c>
      <c r="E35" s="82">
        <v>464.04754630609955</v>
      </c>
      <c r="F35" s="82">
        <v>450.06466239687262</v>
      </c>
      <c r="G35" s="82">
        <v>497.89574017677313</v>
      </c>
      <c r="H35" s="82">
        <v>463.17240813909194</v>
      </c>
      <c r="I35" s="82">
        <v>329.49696618329102</v>
      </c>
      <c r="J35" s="82">
        <v>318.2129395312806</v>
      </c>
      <c r="K35" s="82">
        <v>533.96036601261926</v>
      </c>
      <c r="L35" s="82">
        <v>382.97839282467351</v>
      </c>
      <c r="M35" s="82">
        <v>426.11613943349096</v>
      </c>
      <c r="N35" s="82">
        <v>281.96007905673304</v>
      </c>
      <c r="O35" s="82">
        <v>145.8057330109811</v>
      </c>
      <c r="P35" s="82">
        <v>262.79504266738212</v>
      </c>
      <c r="Q35" s="82">
        <v>248.83669580035448</v>
      </c>
      <c r="R35" s="82">
        <v>196.97423966603313</v>
      </c>
      <c r="S35" s="82">
        <v>190.62517815097419</v>
      </c>
      <c r="T35" s="82">
        <v>158.13071822647549</v>
      </c>
      <c r="U35" s="82">
        <v>124.17231358522528</v>
      </c>
      <c r="V35" s="82">
        <v>150.44671582357859</v>
      </c>
      <c r="W35" s="82">
        <v>133.54968976406059</v>
      </c>
      <c r="X35" s="82">
        <v>297.29995264247782</v>
      </c>
      <c r="Y35" s="82">
        <v>276.15242816618195</v>
      </c>
      <c r="Z35" s="82">
        <v>282.02805889150409</v>
      </c>
    </row>
    <row r="36" spans="1:26">
      <c r="B36" s="137"/>
      <c r="C36" s="139"/>
      <c r="D36" s="142"/>
      <c r="E36" s="82"/>
      <c r="F36" s="82"/>
      <c r="G36" s="82"/>
      <c r="H36" s="82"/>
      <c r="I36" s="82"/>
      <c r="J36" s="82"/>
      <c r="K36" s="82"/>
      <c r="L36" s="82"/>
      <c r="M36" s="82"/>
      <c r="N36" s="82"/>
      <c r="O36" s="82"/>
      <c r="P36" s="82"/>
      <c r="Q36" s="82"/>
      <c r="R36" s="82"/>
      <c r="S36" s="82"/>
      <c r="T36" s="82"/>
      <c r="U36" s="82"/>
      <c r="V36" s="82"/>
      <c r="W36" s="82"/>
      <c r="X36" s="82"/>
      <c r="Y36" s="82"/>
      <c r="Z36" s="82"/>
    </row>
    <row r="37" spans="1:26">
      <c r="B37" s="131" t="s">
        <v>51</v>
      </c>
      <c r="C37" s="12"/>
      <c r="D37" s="148"/>
      <c r="E37" s="82"/>
      <c r="F37" s="82"/>
      <c r="G37" s="82"/>
      <c r="H37" s="82"/>
      <c r="I37" s="82"/>
      <c r="J37" s="82"/>
      <c r="K37" s="82"/>
      <c r="L37" s="82"/>
      <c r="M37" s="82"/>
      <c r="N37" s="82"/>
      <c r="O37" s="82"/>
      <c r="P37" s="82"/>
      <c r="Q37" s="82"/>
      <c r="R37" s="82"/>
      <c r="S37" s="82"/>
      <c r="T37" s="82"/>
      <c r="U37" s="82"/>
      <c r="V37" s="82"/>
      <c r="W37" s="82"/>
      <c r="X37" s="82"/>
      <c r="Y37" s="82"/>
      <c r="Z37" s="82"/>
    </row>
    <row r="38" spans="1:26">
      <c r="B38" s="131"/>
      <c r="C38" s="12" t="s">
        <v>93</v>
      </c>
      <c r="D38" s="148" t="s">
        <v>52</v>
      </c>
      <c r="E38" s="82">
        <v>3.4609999999999999</v>
      </c>
      <c r="F38" s="82">
        <v>0.69299999999999995</v>
      </c>
      <c r="G38" s="82">
        <v>1.6679999999999999</v>
      </c>
      <c r="H38" s="82">
        <v>0.16700000000000001</v>
      </c>
      <c r="I38" s="82">
        <v>0.20799999999999999</v>
      </c>
      <c r="J38" s="82">
        <v>4.6524000000000001</v>
      </c>
      <c r="K38" s="82">
        <v>2.2009099999999999</v>
      </c>
      <c r="L38" s="82">
        <v>5.5414399999999997</v>
      </c>
      <c r="M38" s="82">
        <v>19.407630000000001</v>
      </c>
      <c r="N38" s="82">
        <v>29.630800000000001</v>
      </c>
      <c r="O38" s="82">
        <v>71.635949999999994</v>
      </c>
      <c r="P38" s="82">
        <v>84.54007</v>
      </c>
      <c r="Q38" s="82">
        <v>56.199300000000001</v>
      </c>
      <c r="R38" s="82">
        <v>49.762562000000003</v>
      </c>
      <c r="S38" s="82">
        <v>192.51795000000001</v>
      </c>
      <c r="T38" s="82">
        <v>178.46243999999999</v>
      </c>
      <c r="U38" s="82">
        <v>130.67142000000001</v>
      </c>
      <c r="V38" s="82">
        <v>85.639830000000003</v>
      </c>
      <c r="W38" s="82">
        <v>32.20655</v>
      </c>
      <c r="X38" s="82">
        <v>37.039380000000001</v>
      </c>
      <c r="Y38" s="82">
        <v>40.620980000000003</v>
      </c>
      <c r="Z38" s="82">
        <v>95.436539999999994</v>
      </c>
    </row>
    <row r="39" spans="1:26">
      <c r="B39" s="131"/>
      <c r="C39" s="12" t="s">
        <v>94</v>
      </c>
      <c r="D39" s="148" t="s">
        <v>52</v>
      </c>
      <c r="E39" s="81">
        <v>200.30760400183399</v>
      </c>
      <c r="F39" s="81">
        <v>160.474673002169</v>
      </c>
      <c r="G39" s="81">
        <v>175.264924003749</v>
      </c>
      <c r="H39" s="81">
        <v>147.147065001095</v>
      </c>
      <c r="I39" s="81">
        <v>131.714586000266</v>
      </c>
      <c r="J39" s="81">
        <v>119.016319000222</v>
      </c>
      <c r="K39" s="81">
        <v>113.607627890258</v>
      </c>
      <c r="L39" s="81">
        <v>146.447698450394</v>
      </c>
      <c r="M39" s="81">
        <v>84.1583846313724</v>
      </c>
      <c r="N39" s="81">
        <v>132.915166490931</v>
      </c>
      <c r="O39" s="81">
        <v>138.57345846132301</v>
      </c>
      <c r="P39" s="81">
        <v>152.71150558187401</v>
      </c>
      <c r="Q39" s="81">
        <v>140.93080601426399</v>
      </c>
      <c r="R39" s="81">
        <v>139.40153344076799</v>
      </c>
      <c r="S39" s="81">
        <v>95.730893900614106</v>
      </c>
      <c r="T39" s="81">
        <v>79.807429860254203</v>
      </c>
      <c r="U39" s="81">
        <v>71.087918460167302</v>
      </c>
      <c r="V39" s="81">
        <v>89.132109891383905</v>
      </c>
      <c r="W39" s="81">
        <v>93.873454150203798</v>
      </c>
      <c r="X39" s="81">
        <v>96.302486700007293</v>
      </c>
      <c r="Y39" s="81">
        <v>24.9390627202188</v>
      </c>
      <c r="Z39" s="81">
        <v>9.3408550104974406</v>
      </c>
    </row>
    <row r="40" spans="1:26">
      <c r="B40" s="131"/>
      <c r="C40" s="12" t="s">
        <v>95</v>
      </c>
      <c r="D40" s="148" t="s">
        <v>52</v>
      </c>
      <c r="E40" s="81">
        <v>55.439529006722204</v>
      </c>
      <c r="F40" s="81">
        <v>36.428156002667301</v>
      </c>
      <c r="G40" s="81">
        <v>37.2329140035582</v>
      </c>
      <c r="H40" s="81">
        <v>31.8662140056149</v>
      </c>
      <c r="I40" s="81">
        <v>32.788154006276898</v>
      </c>
      <c r="J40" s="81">
        <v>38.743420003802498</v>
      </c>
      <c r="K40" s="81">
        <v>40.4152717233084</v>
      </c>
      <c r="L40" s="81">
        <v>31.324902763931</v>
      </c>
      <c r="M40" s="81">
        <v>38.881913463643798</v>
      </c>
      <c r="N40" s="81">
        <v>26.406574363053899</v>
      </c>
      <c r="O40" s="81">
        <v>11.689889120090101</v>
      </c>
      <c r="P40" s="81">
        <v>19.827326360225999</v>
      </c>
      <c r="Q40" s="81">
        <v>23.1940210016928</v>
      </c>
      <c r="R40" s="81">
        <v>17.221293750039901</v>
      </c>
      <c r="S40" s="81">
        <v>15.910190530901099</v>
      </c>
      <c r="T40" s="81">
        <v>21.092829840147498</v>
      </c>
      <c r="U40" s="81">
        <v>25.075502500117999</v>
      </c>
      <c r="V40" s="81">
        <v>19.541040100679002</v>
      </c>
      <c r="W40" s="81">
        <v>40.805520000059801</v>
      </c>
      <c r="X40" s="81">
        <v>31.290710500033899</v>
      </c>
      <c r="Y40" s="81">
        <v>12.2699555100239</v>
      </c>
      <c r="Z40" s="81">
        <v>15.4366539400385</v>
      </c>
    </row>
    <row r="41" spans="1:26">
      <c r="B41" s="131"/>
      <c r="C41" s="12" t="s">
        <v>96</v>
      </c>
      <c r="D41" s="148" t="s">
        <v>52</v>
      </c>
      <c r="E41" s="81">
        <v>484.47075013787298</v>
      </c>
      <c r="F41" s="81">
        <v>599.32810211072103</v>
      </c>
      <c r="G41" s="81">
        <v>569.60705811290495</v>
      </c>
      <c r="H41" s="81">
        <v>634.61177110842698</v>
      </c>
      <c r="I41" s="81">
        <v>646.68826729416401</v>
      </c>
      <c r="J41" s="81">
        <v>633.14168123453703</v>
      </c>
      <c r="K41" s="81">
        <v>623.39037195901597</v>
      </c>
      <c r="L41" s="81">
        <v>717.182535829985</v>
      </c>
      <c r="M41" s="81">
        <v>896.58462488580699</v>
      </c>
      <c r="N41" s="81">
        <v>944.28931585861801</v>
      </c>
      <c r="O41" s="81">
        <v>911.36725646417301</v>
      </c>
      <c r="P41" s="81">
        <v>946.44220594268597</v>
      </c>
      <c r="Q41" s="81">
        <v>953.65199660242399</v>
      </c>
      <c r="R41" s="81">
        <v>931.10372279200305</v>
      </c>
      <c r="S41" s="81">
        <v>948.19471393711399</v>
      </c>
      <c r="T41" s="81">
        <v>880.11839392346894</v>
      </c>
      <c r="U41" s="81">
        <v>911.05907962467904</v>
      </c>
      <c r="V41" s="81">
        <v>918.18607817222903</v>
      </c>
      <c r="W41" s="81">
        <v>844.02126064230299</v>
      </c>
      <c r="X41" s="81">
        <v>828.67389560303002</v>
      </c>
      <c r="Y41" s="81">
        <v>808.50472161918799</v>
      </c>
      <c r="Z41" s="81">
        <v>819.32508348663896</v>
      </c>
    </row>
    <row r="42" spans="1:26">
      <c r="B42" s="131"/>
      <c r="C42" s="12" t="s">
        <v>87</v>
      </c>
      <c r="D42" s="148" t="s">
        <v>52</v>
      </c>
      <c r="E42" s="81">
        <v>743.67888314642903</v>
      </c>
      <c r="F42" s="81">
        <v>796.92393111555805</v>
      </c>
      <c r="G42" s="81">
        <v>783.77289612021195</v>
      </c>
      <c r="H42" s="81">
        <v>813.79205011513602</v>
      </c>
      <c r="I42" s="81">
        <v>811.39900730070701</v>
      </c>
      <c r="J42" s="81">
        <v>795.553820238561</v>
      </c>
      <c r="K42" s="81">
        <v>779.61418157258197</v>
      </c>
      <c r="L42" s="81">
        <v>900.49657704430899</v>
      </c>
      <c r="M42" s="81">
        <v>1039.0325529808199</v>
      </c>
      <c r="N42" s="81">
        <v>1133.2418567126001</v>
      </c>
      <c r="O42" s="81">
        <v>1133.2665540455901</v>
      </c>
      <c r="P42" s="81">
        <v>1203.5211078847899</v>
      </c>
      <c r="Q42" s="81">
        <v>1173.9761236183799</v>
      </c>
      <c r="R42" s="81">
        <v>1137.4891119828101</v>
      </c>
      <c r="S42" s="81">
        <v>1252.35374836863</v>
      </c>
      <c r="T42" s="81">
        <v>1159.48109362387</v>
      </c>
      <c r="U42" s="81">
        <v>1137.8939205849599</v>
      </c>
      <c r="V42" s="81">
        <v>1112.4990581642901</v>
      </c>
      <c r="W42" s="81">
        <v>1010.90678479257</v>
      </c>
      <c r="X42" s="81">
        <v>993.30647280307096</v>
      </c>
      <c r="Y42" s="81">
        <v>886.33471984943105</v>
      </c>
      <c r="Z42" s="81">
        <v>939.53913243717602</v>
      </c>
    </row>
    <row r="43" spans="1:26">
      <c r="B43" s="131" t="s">
        <v>186</v>
      </c>
      <c r="C43" s="12"/>
      <c r="D43" s="148" t="s">
        <v>52</v>
      </c>
      <c r="E43" s="81">
        <v>297.69099999999997</v>
      </c>
      <c r="F43" s="81">
        <v>343.36900000000003</v>
      </c>
      <c r="G43" s="81">
        <v>650.32799999999997</v>
      </c>
      <c r="H43" s="81">
        <v>906.80200000000002</v>
      </c>
      <c r="I43" s="81">
        <v>1059.914</v>
      </c>
      <c r="J43" s="81">
        <v>1285.8576399999999</v>
      </c>
      <c r="K43" s="81">
        <v>1215.894055</v>
      </c>
      <c r="L43" s="81">
        <v>1445.35625</v>
      </c>
      <c r="M43" s="81">
        <v>1322.72523</v>
      </c>
      <c r="N43" s="81">
        <v>1402.5276200000001</v>
      </c>
      <c r="O43" s="81">
        <v>1505.6330599999999</v>
      </c>
      <c r="P43" s="81">
        <v>1448.94993</v>
      </c>
      <c r="Q43" s="81">
        <v>1396.6598200000001</v>
      </c>
      <c r="R43" s="81">
        <v>1419.61347</v>
      </c>
      <c r="S43" s="81">
        <v>1353.9548400000001</v>
      </c>
      <c r="T43" s="81">
        <v>1273.5914399999999</v>
      </c>
      <c r="U43" s="81">
        <v>1085.87381</v>
      </c>
      <c r="V43" s="81">
        <v>1047.0104899999999</v>
      </c>
      <c r="W43" s="81">
        <v>1026.56107</v>
      </c>
      <c r="X43" s="81">
        <v>1052.87183</v>
      </c>
      <c r="Y43" s="81">
        <v>977.90497000000005</v>
      </c>
      <c r="Z43" s="81">
        <v>1000.44595</v>
      </c>
    </row>
    <row r="44" spans="1:26">
      <c r="B44" s="131" t="s">
        <v>202</v>
      </c>
      <c r="C44" s="12"/>
      <c r="D44" s="148" t="s">
        <v>52</v>
      </c>
      <c r="E44" s="82">
        <v>2.9580000000000002</v>
      </c>
      <c r="F44" s="82">
        <v>1.379</v>
      </c>
      <c r="G44" s="82">
        <v>4.6950000000000003</v>
      </c>
      <c r="H44" s="82">
        <v>5.8780000000000001</v>
      </c>
      <c r="I44" s="82">
        <v>15.914999999999999</v>
      </c>
      <c r="J44" s="82">
        <v>21.203209999999999</v>
      </c>
      <c r="K44" s="82">
        <v>21.98545</v>
      </c>
      <c r="L44" s="82">
        <v>17.552209999999999</v>
      </c>
      <c r="M44" s="82">
        <v>30.689599999999999</v>
      </c>
      <c r="N44" s="82">
        <v>1.3185500000000001</v>
      </c>
      <c r="O44" s="82">
        <v>0.21485000000000001</v>
      </c>
      <c r="P44" s="82">
        <v>6.5199999999999994E-2</v>
      </c>
      <c r="Q44" s="82">
        <v>0.14130000000000001</v>
      </c>
      <c r="R44" s="82">
        <v>0.24928</v>
      </c>
      <c r="S44" s="82">
        <v>0.17760999999999999</v>
      </c>
      <c r="T44" s="82">
        <v>0.15295</v>
      </c>
      <c r="U44" s="82">
        <v>0.25439000000000001</v>
      </c>
      <c r="V44" s="82">
        <v>1.01224</v>
      </c>
      <c r="W44" s="82">
        <v>0.496201</v>
      </c>
      <c r="X44" s="82">
        <v>0.187444</v>
      </c>
      <c r="Y44" s="82">
        <v>3.2989999999999998E-2</v>
      </c>
      <c r="Z44" s="82">
        <v>2.2689999999999998E-2</v>
      </c>
    </row>
    <row r="45" spans="1:26">
      <c r="A45" s="25"/>
      <c r="B45" s="36" t="s">
        <v>399</v>
      </c>
      <c r="C45" s="31"/>
      <c r="D45" s="152" t="s">
        <v>52</v>
      </c>
      <c r="E45" s="91">
        <v>5437.1450000000004</v>
      </c>
      <c r="F45" s="91">
        <v>5263.9120000000003</v>
      </c>
      <c r="G45" s="91">
        <v>5598.3450000000003</v>
      </c>
      <c r="H45" s="91">
        <v>5363.393</v>
      </c>
      <c r="I45" s="91">
        <v>5952.3850000000002</v>
      </c>
      <c r="J45" s="91">
        <v>6166.2145</v>
      </c>
      <c r="K45" s="91">
        <v>5254.7915400000002</v>
      </c>
      <c r="L45" s="91">
        <v>4817.6086100000002</v>
      </c>
      <c r="M45" s="91">
        <v>5064.3764000000001</v>
      </c>
      <c r="N45" s="91">
        <v>4149.9369900000002</v>
      </c>
      <c r="O45" s="91">
        <v>3806.0147400000001</v>
      </c>
      <c r="P45" s="91">
        <v>4776.1646600000004</v>
      </c>
      <c r="Q45" s="91">
        <v>5706.9399000000003</v>
      </c>
      <c r="R45" s="91">
        <v>6392.7013900000002</v>
      </c>
      <c r="S45" s="91">
        <v>7099.7864220000001</v>
      </c>
      <c r="T45" s="91">
        <v>7305.0994989999999</v>
      </c>
      <c r="U45" s="91">
        <v>7349.8521049999999</v>
      </c>
      <c r="V45" s="91">
        <v>5245.5432049999999</v>
      </c>
      <c r="W45" s="91">
        <v>4815.637248</v>
      </c>
      <c r="X45" s="91">
        <v>5548.2371999999996</v>
      </c>
      <c r="Y45" s="91">
        <v>5415.8893770000004</v>
      </c>
      <c r="Z45" s="91">
        <v>4693.968433</v>
      </c>
    </row>
    <row r="46" spans="1:26">
      <c r="A46" s="131"/>
      <c r="B46" s="12"/>
      <c r="C46" s="147"/>
      <c r="D46" s="148"/>
      <c r="E46" s="82"/>
      <c r="F46" s="82"/>
      <c r="G46" s="82"/>
      <c r="H46" s="82"/>
      <c r="I46" s="82"/>
      <c r="J46" s="82"/>
      <c r="K46" s="82"/>
      <c r="L46" s="82"/>
      <c r="M46" s="82"/>
      <c r="N46" s="82"/>
      <c r="O46" s="82"/>
      <c r="P46" s="82"/>
      <c r="Q46" s="82"/>
      <c r="R46" s="82"/>
      <c r="S46" s="82"/>
      <c r="T46" s="82"/>
      <c r="U46" s="82"/>
      <c r="V46" s="82"/>
      <c r="W46" s="82"/>
      <c r="X46" s="82"/>
      <c r="Y46" s="82"/>
      <c r="Z46" s="82"/>
    </row>
    <row r="47" spans="1:26">
      <c r="A47" s="131" t="s">
        <v>203</v>
      </c>
      <c r="B47" s="12"/>
      <c r="C47" s="147"/>
      <c r="D47" s="148"/>
      <c r="E47" s="82"/>
      <c r="F47" s="82"/>
      <c r="G47" s="82"/>
      <c r="H47" s="82"/>
      <c r="I47" s="82"/>
      <c r="J47" s="82"/>
      <c r="K47" s="82"/>
      <c r="L47" s="82"/>
      <c r="M47" s="82"/>
      <c r="N47" s="82"/>
      <c r="O47" s="82"/>
      <c r="P47" s="82"/>
      <c r="Q47" s="82"/>
      <c r="R47" s="82"/>
      <c r="S47" s="82"/>
      <c r="T47" s="82"/>
      <c r="U47" s="82"/>
      <c r="V47" s="82"/>
      <c r="W47" s="82"/>
      <c r="X47" s="82"/>
      <c r="Y47" s="82"/>
      <c r="Z47" s="82"/>
    </row>
    <row r="48" spans="1:26">
      <c r="B48" s="131" t="s">
        <v>194</v>
      </c>
      <c r="C48" s="146"/>
      <c r="D48" s="148"/>
      <c r="E48" s="82"/>
      <c r="F48" s="82"/>
      <c r="G48" s="82"/>
      <c r="H48" s="82"/>
      <c r="I48" s="82"/>
      <c r="J48" s="82"/>
      <c r="K48" s="82"/>
      <c r="L48" s="82"/>
      <c r="M48" s="82"/>
      <c r="N48" s="82"/>
      <c r="O48" s="82"/>
      <c r="P48" s="82"/>
      <c r="Q48" s="82"/>
      <c r="R48" s="82"/>
      <c r="S48" s="82"/>
      <c r="T48" s="82"/>
      <c r="U48" s="82"/>
      <c r="V48" s="82"/>
      <c r="W48" s="82"/>
      <c r="X48" s="82"/>
      <c r="Y48" s="82"/>
      <c r="Z48" s="82"/>
    </row>
    <row r="49" spans="2:26">
      <c r="B49" s="145"/>
      <c r="C49" s="146" t="s">
        <v>42</v>
      </c>
      <c r="D49" s="148" t="s">
        <v>47</v>
      </c>
      <c r="E49" s="82">
        <v>67.856583999999998</v>
      </c>
      <c r="F49" s="82">
        <v>81.167338000000001</v>
      </c>
      <c r="G49" s="82">
        <v>43.825558000000001</v>
      </c>
      <c r="H49" s="82">
        <v>51.947071000000001</v>
      </c>
      <c r="I49" s="82">
        <v>84.486743000000004</v>
      </c>
      <c r="J49" s="82">
        <v>72.700017000000003</v>
      </c>
      <c r="K49" s="82">
        <v>67.384266999999994</v>
      </c>
      <c r="L49" s="82">
        <v>96.165145999999993</v>
      </c>
      <c r="M49" s="82">
        <v>160.71647100000001</v>
      </c>
      <c r="N49" s="82">
        <v>142.89154600000001</v>
      </c>
      <c r="O49" s="82">
        <v>124.97187099999999</v>
      </c>
      <c r="P49" s="82">
        <v>261.24787900000001</v>
      </c>
      <c r="Q49" s="82">
        <v>272.717804</v>
      </c>
      <c r="R49" s="82">
        <v>363.60438299999998</v>
      </c>
      <c r="S49" s="82">
        <v>509.37661200000002</v>
      </c>
      <c r="T49" s="82">
        <v>518.14628100000004</v>
      </c>
      <c r="U49" s="82">
        <v>520.07660499999997</v>
      </c>
      <c r="V49" s="82">
        <v>473.86143499999997</v>
      </c>
      <c r="W49" s="82">
        <v>310.21791200000001</v>
      </c>
      <c r="X49" s="82">
        <v>85.548332000000002</v>
      </c>
      <c r="Y49" s="82">
        <v>48.987397000000001</v>
      </c>
      <c r="Z49" s="82">
        <v>109.563819</v>
      </c>
    </row>
    <row r="50" spans="2:26">
      <c r="B50" s="145"/>
      <c r="C50" s="146" t="s">
        <v>61</v>
      </c>
      <c r="D50" s="148" t="s">
        <v>47</v>
      </c>
      <c r="E50" s="82">
        <v>35.116745000000002</v>
      </c>
      <c r="F50" s="82">
        <v>27.156568</v>
      </c>
      <c r="G50" s="82">
        <v>23.612656999999999</v>
      </c>
      <c r="H50" s="82">
        <v>24.696566000000001</v>
      </c>
      <c r="I50" s="82">
        <v>28.944873000000001</v>
      </c>
      <c r="J50" s="82">
        <v>27.281099000000001</v>
      </c>
      <c r="K50" s="82">
        <v>28.017206000000002</v>
      </c>
      <c r="L50" s="82">
        <v>35.841191999999999</v>
      </c>
      <c r="M50" s="82">
        <v>32.724277000000001</v>
      </c>
      <c r="N50" s="82">
        <v>27.717139</v>
      </c>
      <c r="O50" s="82">
        <v>23.822429</v>
      </c>
      <c r="P50" s="82">
        <v>27.293018</v>
      </c>
      <c r="Q50" s="82">
        <v>35.844248999999998</v>
      </c>
      <c r="R50" s="82">
        <v>70.179941999999997</v>
      </c>
      <c r="S50" s="82">
        <v>83.754227</v>
      </c>
      <c r="T50" s="82">
        <v>117.64366200000001</v>
      </c>
      <c r="U50" s="82">
        <v>126.577371</v>
      </c>
      <c r="V50" s="82">
        <v>109.604753</v>
      </c>
      <c r="W50" s="82">
        <v>79.877189999999999</v>
      </c>
      <c r="X50" s="82">
        <v>68.230784999999997</v>
      </c>
      <c r="Y50" s="82">
        <v>47.088313999999997</v>
      </c>
      <c r="Z50" s="82">
        <v>18.196756000000001</v>
      </c>
    </row>
    <row r="51" spans="2:26">
      <c r="B51" s="145"/>
      <c r="C51" s="146" t="s">
        <v>76</v>
      </c>
      <c r="D51" s="148" t="s">
        <v>47</v>
      </c>
      <c r="E51" s="82">
        <v>3.888706</v>
      </c>
      <c r="F51" s="82">
        <v>5.3337130000000004</v>
      </c>
      <c r="G51" s="82">
        <v>5.1256050000000002</v>
      </c>
      <c r="H51" s="82">
        <v>5.713184</v>
      </c>
      <c r="I51" s="82">
        <v>3.95099</v>
      </c>
      <c r="J51" s="82">
        <v>5.4579149999999998</v>
      </c>
      <c r="K51" s="82">
        <v>5.55389</v>
      </c>
      <c r="L51" s="82">
        <v>5.7781339999999997</v>
      </c>
      <c r="M51" s="82">
        <v>4.1250010000000001</v>
      </c>
      <c r="N51" s="82">
        <v>4.4849870000000003</v>
      </c>
      <c r="O51" s="82">
        <v>5.8763540000000001</v>
      </c>
      <c r="P51" s="82">
        <v>3.8326129999999998</v>
      </c>
      <c r="Q51" s="82">
        <v>4.254766</v>
      </c>
      <c r="R51" s="82">
        <v>4.228459</v>
      </c>
      <c r="S51" s="82">
        <v>4.6054779999999997</v>
      </c>
      <c r="T51" s="82">
        <v>7.7439710000000002</v>
      </c>
      <c r="U51" s="82">
        <v>6.7347029999999997</v>
      </c>
      <c r="V51" s="82">
        <v>8.0820799999999995</v>
      </c>
      <c r="W51" s="82">
        <v>3.0933980000000001</v>
      </c>
      <c r="X51" s="82">
        <v>3.7501329999999999</v>
      </c>
      <c r="Y51" s="82">
        <v>4.7031070000000001</v>
      </c>
      <c r="Z51" s="82">
        <v>4.3012220000000001</v>
      </c>
    </row>
    <row r="52" spans="2:26">
      <c r="B52" s="14"/>
      <c r="C52" s="12" t="s">
        <v>87</v>
      </c>
      <c r="D52" s="148" t="s">
        <v>47</v>
      </c>
      <c r="E52" s="82">
        <v>106.86203500000001</v>
      </c>
      <c r="F52" s="82">
        <v>113.657619</v>
      </c>
      <c r="G52" s="82">
        <v>72.563820000000007</v>
      </c>
      <c r="H52" s="82">
        <v>82.356820999999997</v>
      </c>
      <c r="I52" s="82">
        <v>117.382606</v>
      </c>
      <c r="J52" s="82">
        <v>105.439031</v>
      </c>
      <c r="K52" s="82">
        <v>100.95536300000001</v>
      </c>
      <c r="L52" s="82">
        <v>137.78447199999999</v>
      </c>
      <c r="M52" s="82">
        <v>197.56574900000001</v>
      </c>
      <c r="N52" s="82">
        <v>175.093672</v>
      </c>
      <c r="O52" s="82">
        <v>154.67065400000001</v>
      </c>
      <c r="P52" s="82">
        <v>292.37351000000001</v>
      </c>
      <c r="Q52" s="82">
        <v>312.81681900000001</v>
      </c>
      <c r="R52" s="82">
        <v>438.01278400000001</v>
      </c>
      <c r="S52" s="82">
        <v>597.73631699999999</v>
      </c>
      <c r="T52" s="82">
        <v>643.53391399999998</v>
      </c>
      <c r="U52" s="82">
        <v>653.38867900000002</v>
      </c>
      <c r="V52" s="82">
        <v>591.54826800000001</v>
      </c>
      <c r="W52" s="82">
        <v>393.18849999999998</v>
      </c>
      <c r="X52" s="82">
        <v>157.52924999999999</v>
      </c>
      <c r="Y52" s="82">
        <v>100.778818</v>
      </c>
      <c r="Z52" s="82">
        <v>132.06179700000001</v>
      </c>
    </row>
    <row r="53" spans="2:26">
      <c r="B53" s="131" t="s">
        <v>49</v>
      </c>
      <c r="C53" s="12"/>
      <c r="D53" s="148"/>
      <c r="E53" s="82"/>
      <c r="F53" s="82"/>
      <c r="G53" s="82"/>
      <c r="H53" s="82"/>
      <c r="I53" s="82"/>
      <c r="J53" s="82"/>
      <c r="K53" s="82"/>
      <c r="L53" s="82"/>
      <c r="M53" s="82"/>
      <c r="N53" s="82"/>
      <c r="O53" s="82"/>
      <c r="P53" s="82"/>
      <c r="Q53" s="82"/>
      <c r="R53" s="82"/>
      <c r="S53" s="82"/>
      <c r="T53" s="82"/>
      <c r="U53" s="82"/>
      <c r="V53" s="82"/>
      <c r="W53" s="82"/>
      <c r="X53" s="82"/>
      <c r="Y53" s="82"/>
      <c r="Z53" s="82"/>
    </row>
    <row r="54" spans="2:26">
      <c r="B54" s="131"/>
      <c r="C54" s="11" t="s">
        <v>323</v>
      </c>
      <c r="D54" s="148" t="s">
        <v>47</v>
      </c>
      <c r="E54" s="82">
        <v>13.220886999999999</v>
      </c>
      <c r="F54" s="82">
        <v>18.202401999999999</v>
      </c>
      <c r="G54" s="82">
        <v>40.809232000000002</v>
      </c>
      <c r="H54" s="82">
        <v>63.278367000000003</v>
      </c>
      <c r="I54" s="82">
        <v>80.675207999999998</v>
      </c>
      <c r="J54" s="82">
        <v>63.116762000000001</v>
      </c>
      <c r="K54" s="82">
        <v>69.706267999999994</v>
      </c>
      <c r="L54" s="82">
        <v>76.054499000000007</v>
      </c>
      <c r="M54" s="82">
        <v>67.228369000000001</v>
      </c>
      <c r="N54" s="82">
        <v>54.806238999999998</v>
      </c>
      <c r="O54" s="82">
        <v>61.444141999999999</v>
      </c>
      <c r="P54" s="82">
        <v>75.237359999999995</v>
      </c>
      <c r="Q54" s="82">
        <v>74.070757</v>
      </c>
      <c r="R54" s="82">
        <v>67.567986000000005</v>
      </c>
      <c r="S54" s="82">
        <v>69.274446999999995</v>
      </c>
      <c r="T54" s="82">
        <v>60.813388000000003</v>
      </c>
      <c r="U54" s="82">
        <v>58.033543999999999</v>
      </c>
      <c r="V54" s="82">
        <v>60.297646999999998</v>
      </c>
      <c r="W54" s="82">
        <v>40.475631999999997</v>
      </c>
      <c r="X54" s="82">
        <v>36.638485000000003</v>
      </c>
      <c r="Y54" s="82">
        <v>43.338800999999997</v>
      </c>
      <c r="Z54" s="82">
        <v>57.566892000000003</v>
      </c>
    </row>
    <row r="55" spans="2:26">
      <c r="B55" s="131"/>
      <c r="C55" s="12" t="s">
        <v>205</v>
      </c>
      <c r="D55" s="148" t="s">
        <v>47</v>
      </c>
      <c r="E55" s="82">
        <v>8.9173220000000004</v>
      </c>
      <c r="F55" s="82">
        <v>10.658643</v>
      </c>
      <c r="G55" s="82">
        <v>14.664569999999999</v>
      </c>
      <c r="H55" s="82">
        <v>9.9733769999999993</v>
      </c>
      <c r="I55" s="82">
        <v>12.855957999999999</v>
      </c>
      <c r="J55" s="82">
        <v>6.2050859999999997</v>
      </c>
      <c r="K55" s="82">
        <v>3.6576909999999998</v>
      </c>
      <c r="L55" s="82">
        <v>2.3386330000000002</v>
      </c>
      <c r="M55" s="82">
        <v>1.514721</v>
      </c>
      <c r="N55" s="82">
        <v>0.87169099999999999</v>
      </c>
      <c r="O55" s="82">
        <v>0.330121</v>
      </c>
      <c r="P55" s="82">
        <v>1.54478</v>
      </c>
      <c r="Q55" s="82">
        <v>10.021096</v>
      </c>
      <c r="R55" s="82">
        <v>5.9729780000000003</v>
      </c>
      <c r="S55" s="82">
        <v>4.1810549999999997</v>
      </c>
      <c r="T55" s="82" t="s">
        <v>211</v>
      </c>
      <c r="U55" s="82" t="s">
        <v>211</v>
      </c>
      <c r="V55" s="82" t="s">
        <v>211</v>
      </c>
      <c r="W55" s="82" t="s">
        <v>211</v>
      </c>
      <c r="X55" s="82" t="s">
        <v>211</v>
      </c>
      <c r="Y55" s="82" t="s">
        <v>211</v>
      </c>
      <c r="Z55" s="82">
        <v>0</v>
      </c>
    </row>
    <row r="56" spans="2:26">
      <c r="B56" s="131"/>
      <c r="C56" s="12" t="s">
        <v>206</v>
      </c>
      <c r="D56" s="148" t="s">
        <v>47</v>
      </c>
      <c r="E56" s="82">
        <v>33.915247000000001</v>
      </c>
      <c r="F56" s="82">
        <v>29.012485000000002</v>
      </c>
      <c r="G56" s="82">
        <v>27.571089000000001</v>
      </c>
      <c r="H56" s="82">
        <v>30.635435999999999</v>
      </c>
      <c r="I56" s="82">
        <v>35.407984999999996</v>
      </c>
      <c r="J56" s="82">
        <v>37.518507999999997</v>
      </c>
      <c r="K56" s="82">
        <v>37.124031000000002</v>
      </c>
      <c r="L56" s="82">
        <v>32.888896000000003</v>
      </c>
      <c r="M56" s="82">
        <v>33.632376999999998</v>
      </c>
      <c r="N56" s="82">
        <v>23.341678000000002</v>
      </c>
      <c r="O56" s="82">
        <v>19.637219999999999</v>
      </c>
      <c r="P56" s="82">
        <v>22.466666</v>
      </c>
      <c r="Q56" s="82">
        <v>19.943936999999998</v>
      </c>
      <c r="R56" s="82">
        <v>17.110348999999999</v>
      </c>
      <c r="S56" s="82">
        <v>28.989107000000001</v>
      </c>
      <c r="T56" s="82">
        <v>35.857976999999998</v>
      </c>
      <c r="U56" s="82">
        <v>27.331026999999999</v>
      </c>
      <c r="V56" s="82">
        <v>26.077062000000002</v>
      </c>
      <c r="W56" s="82">
        <v>23.27599</v>
      </c>
      <c r="X56" s="82">
        <v>20.466152999999998</v>
      </c>
      <c r="Y56" s="82">
        <v>21.244641999999999</v>
      </c>
      <c r="Z56" s="82">
        <v>18.459775</v>
      </c>
    </row>
    <row r="57" spans="2:26">
      <c r="B57" s="131"/>
      <c r="C57" s="12" t="s">
        <v>198</v>
      </c>
      <c r="D57" s="148" t="s">
        <v>47</v>
      </c>
      <c r="E57" s="82">
        <v>3.7304200000000001</v>
      </c>
      <c r="F57" s="82">
        <v>3.8460990000000002</v>
      </c>
      <c r="G57" s="82">
        <v>4.6730200000000002</v>
      </c>
      <c r="H57" s="82">
        <v>5.0899580000000002</v>
      </c>
      <c r="I57" s="82">
        <v>5.9214950000000002</v>
      </c>
      <c r="J57" s="82">
        <v>6.046354</v>
      </c>
      <c r="K57" s="82">
        <v>6.0708510000000002</v>
      </c>
      <c r="L57" s="82">
        <v>6.9400570000000004</v>
      </c>
      <c r="M57" s="82">
        <v>8.3393619999999995</v>
      </c>
      <c r="N57" s="82">
        <v>5.796894</v>
      </c>
      <c r="O57" s="82">
        <v>4.8316350000000003</v>
      </c>
      <c r="P57" s="82">
        <v>5.1462070000000004</v>
      </c>
      <c r="Q57" s="82">
        <v>2.3274270000000001</v>
      </c>
      <c r="R57" s="82">
        <v>8.3106480000000005</v>
      </c>
      <c r="S57" s="82">
        <v>3.2930250000000001</v>
      </c>
      <c r="T57" s="82">
        <v>2.303804</v>
      </c>
      <c r="U57" s="82">
        <v>6.846292</v>
      </c>
      <c r="V57" s="82">
        <v>5.5814260000000004</v>
      </c>
      <c r="W57" s="82">
        <v>6.114776</v>
      </c>
      <c r="X57" s="82">
        <v>6.0228130000000002</v>
      </c>
      <c r="Y57" s="82">
        <v>5.648415</v>
      </c>
      <c r="Z57" s="82">
        <v>5.3925000000000001</v>
      </c>
    </row>
    <row r="58" spans="2:26">
      <c r="B58" s="131"/>
      <c r="C58" s="12" t="s">
        <v>87</v>
      </c>
      <c r="D58" s="148" t="s">
        <v>47</v>
      </c>
      <c r="E58" s="82">
        <v>59.783875999999999</v>
      </c>
      <c r="F58" s="82">
        <v>61.719628999999998</v>
      </c>
      <c r="G58" s="82">
        <v>87.717911000000001</v>
      </c>
      <c r="H58" s="82">
        <v>108.977138</v>
      </c>
      <c r="I58" s="82">
        <v>134.860646</v>
      </c>
      <c r="J58" s="82">
        <v>112.88670999999999</v>
      </c>
      <c r="K58" s="82">
        <v>116.558841</v>
      </c>
      <c r="L58" s="82">
        <v>118.22208500000001</v>
      </c>
      <c r="M58" s="82">
        <v>110.71482899999999</v>
      </c>
      <c r="N58" s="82">
        <v>84.816502</v>
      </c>
      <c r="O58" s="82">
        <v>86.243117999999996</v>
      </c>
      <c r="P58" s="82">
        <v>104.39501300000001</v>
      </c>
      <c r="Q58" s="82">
        <v>106.36321700000001</v>
      </c>
      <c r="R58" s="82">
        <v>98.961961000000002</v>
      </c>
      <c r="S58" s="82">
        <v>105.737634</v>
      </c>
      <c r="T58" s="82">
        <v>98.975168999999994</v>
      </c>
      <c r="U58" s="82">
        <v>92.210863000000003</v>
      </c>
      <c r="V58" s="82">
        <v>91.956135000000003</v>
      </c>
      <c r="W58" s="82">
        <v>69.866398000000004</v>
      </c>
      <c r="X58" s="82">
        <v>63.127451000000001</v>
      </c>
      <c r="Y58" s="82">
        <v>70.231679</v>
      </c>
      <c r="Z58" s="82">
        <v>81.419167000000002</v>
      </c>
    </row>
    <row r="59" spans="2:26">
      <c r="B59" s="131" t="s">
        <v>207</v>
      </c>
      <c r="C59" s="12"/>
      <c r="D59" s="148" t="s">
        <v>47</v>
      </c>
      <c r="E59" s="82">
        <v>4.3961199999999998</v>
      </c>
      <c r="F59" s="82">
        <v>4.2075230000000001</v>
      </c>
      <c r="G59" s="82">
        <v>3.9931779999999999</v>
      </c>
      <c r="H59" s="82">
        <v>3.701085</v>
      </c>
      <c r="I59" s="82">
        <v>4.6260430000000001</v>
      </c>
      <c r="J59" s="82">
        <v>3.2895949999999998</v>
      </c>
      <c r="K59" s="82">
        <v>3.721266</v>
      </c>
      <c r="L59" s="82">
        <v>2.4925030000000001</v>
      </c>
      <c r="M59" s="82">
        <v>3.0408870000000001</v>
      </c>
      <c r="N59" s="82">
        <v>2.807658</v>
      </c>
      <c r="O59" s="82">
        <v>2.8676710000000001</v>
      </c>
      <c r="P59" s="82">
        <v>2.5361349999999998</v>
      </c>
      <c r="Q59" s="82">
        <v>1.8662179999999999</v>
      </c>
      <c r="R59" s="82">
        <v>1.6772609999999999</v>
      </c>
      <c r="S59" s="82">
        <v>1.545604</v>
      </c>
      <c r="T59" s="82">
        <v>1.612681</v>
      </c>
      <c r="U59" s="82">
        <v>0.85236199999999995</v>
      </c>
      <c r="V59" s="82">
        <v>0.45258100000000001</v>
      </c>
      <c r="W59" s="82">
        <v>0.47039500000000001</v>
      </c>
      <c r="X59" s="82">
        <v>0.26568599999999998</v>
      </c>
      <c r="Y59" s="82">
        <v>0.52110900000000004</v>
      </c>
      <c r="Z59" s="82">
        <v>0.290802</v>
      </c>
    </row>
    <row r="60" spans="2:26">
      <c r="B60" s="131" t="s">
        <v>204</v>
      </c>
      <c r="C60" s="12"/>
      <c r="D60" s="14"/>
      <c r="E60" s="82"/>
      <c r="F60" s="82"/>
      <c r="G60" s="82"/>
      <c r="H60" s="82"/>
      <c r="I60" s="82"/>
      <c r="J60" s="82"/>
      <c r="K60" s="82"/>
      <c r="L60" s="82"/>
      <c r="M60" s="82"/>
      <c r="N60" s="82"/>
      <c r="O60" s="82"/>
      <c r="P60" s="82"/>
      <c r="Q60" s="82"/>
      <c r="R60" s="82"/>
      <c r="S60" s="82"/>
      <c r="T60" s="82"/>
      <c r="U60" s="82"/>
      <c r="V60" s="82"/>
      <c r="W60" s="82"/>
      <c r="X60" s="82"/>
      <c r="Y60" s="82"/>
      <c r="Z60" s="82"/>
    </row>
    <row r="61" spans="2:26">
      <c r="B61" s="131"/>
      <c r="C61" s="11" t="s">
        <v>322</v>
      </c>
      <c r="D61" s="148" t="s">
        <v>47</v>
      </c>
      <c r="E61" s="82">
        <v>1.8219590000000001</v>
      </c>
      <c r="F61" s="82">
        <v>3.0397829999999999</v>
      </c>
      <c r="G61" s="82">
        <v>2.0242339999999999</v>
      </c>
      <c r="H61" s="82">
        <v>2.2931490000000001</v>
      </c>
      <c r="I61" s="82">
        <v>1.9329540000000001</v>
      </c>
      <c r="J61" s="82">
        <v>2.3535059999999999</v>
      </c>
      <c r="K61" s="82">
        <v>2.2384330000000001</v>
      </c>
      <c r="L61" s="82">
        <v>3.5149050000000002</v>
      </c>
      <c r="M61" s="82">
        <v>6.112978</v>
      </c>
      <c r="N61" s="82">
        <v>9.9242279999999994</v>
      </c>
      <c r="O61" s="82">
        <v>11.208394</v>
      </c>
      <c r="P61" s="82">
        <v>14.392462999999999</v>
      </c>
      <c r="Q61" s="82">
        <v>17.729657</v>
      </c>
      <c r="R61" s="82">
        <v>31.530090999999999</v>
      </c>
      <c r="S61" s="82">
        <v>33.328868</v>
      </c>
      <c r="T61" s="82">
        <v>22.117386</v>
      </c>
      <c r="U61" s="82">
        <v>18.022693</v>
      </c>
      <c r="V61" s="82">
        <v>18.412002999999999</v>
      </c>
      <c r="W61" s="82">
        <v>17.662676999999999</v>
      </c>
      <c r="X61" s="82">
        <v>20.347106</v>
      </c>
      <c r="Y61" s="82">
        <v>17.988364000000001</v>
      </c>
      <c r="Z61" s="82">
        <v>17.312442999999998</v>
      </c>
    </row>
    <row r="62" spans="2:26">
      <c r="B62" s="131"/>
      <c r="C62" s="11" t="s">
        <v>209</v>
      </c>
      <c r="D62" s="148" t="s">
        <v>47</v>
      </c>
      <c r="E62" s="82">
        <v>0</v>
      </c>
      <c r="F62" s="82">
        <v>0</v>
      </c>
      <c r="G62" s="82">
        <v>0</v>
      </c>
      <c r="H62" s="82">
        <v>0</v>
      </c>
      <c r="I62" s="82">
        <v>0</v>
      </c>
      <c r="J62" s="82">
        <v>0</v>
      </c>
      <c r="K62" s="82">
        <v>0</v>
      </c>
      <c r="L62" s="82">
        <v>0</v>
      </c>
      <c r="M62" s="82">
        <v>2.9052289999999998</v>
      </c>
      <c r="N62" s="82">
        <v>9.1314580000000003</v>
      </c>
      <c r="O62" s="82">
        <v>15.350206999999999</v>
      </c>
      <c r="P62" s="82">
        <v>17.575292000000001</v>
      </c>
      <c r="Q62" s="82">
        <v>22.672929</v>
      </c>
      <c r="R62" s="82">
        <v>31.162922999999999</v>
      </c>
      <c r="S62" s="82">
        <v>24.818314999999998</v>
      </c>
      <c r="T62" s="82">
        <v>40.408622999999999</v>
      </c>
      <c r="U62" s="82">
        <v>35.035477999999998</v>
      </c>
      <c r="V62" s="82">
        <v>35.944062000000002</v>
      </c>
      <c r="W62" s="82">
        <v>44.624011000000003</v>
      </c>
      <c r="X62" s="82">
        <v>42.422545</v>
      </c>
      <c r="Y62" s="82">
        <v>20.485952000000001</v>
      </c>
      <c r="Z62" s="82">
        <v>23.261219000000001</v>
      </c>
    </row>
    <row r="63" spans="2:26">
      <c r="B63" s="131"/>
      <c r="C63" s="11" t="s">
        <v>218</v>
      </c>
      <c r="D63" s="148" t="s">
        <v>47</v>
      </c>
      <c r="E63" s="82">
        <v>59.104796</v>
      </c>
      <c r="F63" s="82">
        <v>70.540746999999996</v>
      </c>
      <c r="G63" s="82">
        <v>78.606480000000005</v>
      </c>
      <c r="H63" s="82">
        <v>73.713065999999998</v>
      </c>
      <c r="I63" s="82">
        <v>68.830925000000008</v>
      </c>
      <c r="J63" s="82">
        <v>58.357599999999998</v>
      </c>
      <c r="K63" s="82">
        <v>51.523010999999997</v>
      </c>
      <c r="L63" s="82">
        <v>55.750010000000003</v>
      </c>
      <c r="M63" s="82">
        <v>54.852009000000002</v>
      </c>
      <c r="N63" s="82">
        <v>43.296422999999997</v>
      </c>
      <c r="O63" s="82">
        <v>37.741152</v>
      </c>
      <c r="P63" s="82">
        <v>42.408354000000003</v>
      </c>
      <c r="Q63" s="82">
        <v>38.066810000000004</v>
      </c>
      <c r="R63" s="82">
        <v>50.875937</v>
      </c>
      <c r="S63" s="82">
        <v>91.387525999999994</v>
      </c>
      <c r="T63" s="82">
        <v>74.594506000000024</v>
      </c>
      <c r="U63" s="82">
        <v>83.522403000000011</v>
      </c>
      <c r="V63" s="82">
        <v>91.64115000000001</v>
      </c>
      <c r="W63" s="82">
        <v>102.23218399999999</v>
      </c>
      <c r="X63" s="82">
        <v>111.00353299999999</v>
      </c>
      <c r="Y63" s="82">
        <v>106.66146099999999</v>
      </c>
      <c r="Z63" s="82">
        <v>120.97182199999999</v>
      </c>
    </row>
    <row r="64" spans="2:26">
      <c r="B64" s="131"/>
      <c r="C64" s="11" t="s">
        <v>87</v>
      </c>
      <c r="D64" s="148" t="s">
        <v>47</v>
      </c>
      <c r="E64" s="82">
        <v>60.926755</v>
      </c>
      <c r="F64" s="82">
        <v>73.580529999999996</v>
      </c>
      <c r="G64" s="82">
        <v>80.630713999999998</v>
      </c>
      <c r="H64" s="82">
        <v>76.006214999999997</v>
      </c>
      <c r="I64" s="82">
        <v>70.763879000000003</v>
      </c>
      <c r="J64" s="82">
        <v>60.711106000000001</v>
      </c>
      <c r="K64" s="82">
        <v>53.761443999999997</v>
      </c>
      <c r="L64" s="82">
        <v>59.264915000000002</v>
      </c>
      <c r="M64" s="82">
        <v>63.870215999999999</v>
      </c>
      <c r="N64" s="82">
        <v>62.352108999999999</v>
      </c>
      <c r="O64" s="82">
        <v>64.299752999999995</v>
      </c>
      <c r="P64" s="82">
        <v>74.376109</v>
      </c>
      <c r="Q64" s="82">
        <v>78.469396000000003</v>
      </c>
      <c r="R64" s="82">
        <v>113.568951</v>
      </c>
      <c r="S64" s="82">
        <v>149.53470899999999</v>
      </c>
      <c r="T64" s="82">
        <v>137.12051500000001</v>
      </c>
      <c r="U64" s="82">
        <v>136.58057400000001</v>
      </c>
      <c r="V64" s="82">
        <v>145.99721500000001</v>
      </c>
      <c r="W64" s="82">
        <v>164.51887199999999</v>
      </c>
      <c r="X64" s="82">
        <v>173.77318399999999</v>
      </c>
      <c r="Y64" s="82">
        <v>145.13577699999999</v>
      </c>
      <c r="Z64" s="82">
        <v>161.54548399999999</v>
      </c>
    </row>
    <row r="65" spans="2:26">
      <c r="B65" s="131"/>
      <c r="C65" s="12"/>
      <c r="D65" s="148"/>
      <c r="E65" s="82"/>
      <c r="F65" s="82"/>
      <c r="G65" s="82"/>
      <c r="H65" s="82"/>
      <c r="I65" s="82"/>
      <c r="J65" s="82"/>
      <c r="K65" s="82"/>
      <c r="L65" s="82"/>
      <c r="M65" s="82"/>
      <c r="N65" s="82"/>
      <c r="O65" s="82"/>
      <c r="P65" s="82"/>
      <c r="Q65" s="82"/>
      <c r="R65" s="82"/>
      <c r="S65" s="82"/>
      <c r="T65" s="82"/>
      <c r="U65" s="82"/>
      <c r="V65" s="82"/>
      <c r="W65" s="82"/>
      <c r="X65" s="82"/>
      <c r="Y65" s="82"/>
      <c r="Z65" s="82"/>
    </row>
    <row r="66" spans="2:26">
      <c r="B66" s="137" t="s">
        <v>340</v>
      </c>
      <c r="C66" s="139"/>
      <c r="D66" s="82"/>
      <c r="E66" s="82"/>
      <c r="F66" s="82"/>
      <c r="G66" s="82"/>
      <c r="H66" s="82"/>
      <c r="I66" s="82"/>
      <c r="J66" s="82"/>
      <c r="K66" s="82"/>
      <c r="L66" s="82"/>
      <c r="M66" s="82"/>
      <c r="N66" s="82"/>
      <c r="O66" s="82"/>
      <c r="P66" s="82"/>
      <c r="Q66" s="82"/>
      <c r="R66" s="82"/>
      <c r="S66" s="82"/>
      <c r="T66" s="82"/>
      <c r="U66" s="82"/>
      <c r="V66" s="82"/>
      <c r="W66" s="82"/>
      <c r="X66" s="82"/>
      <c r="Y66" s="82"/>
      <c r="Z66" s="82"/>
    </row>
    <row r="67" spans="2:26">
      <c r="B67" s="137"/>
      <c r="C67" s="139" t="s">
        <v>199</v>
      </c>
      <c r="D67" s="142" t="s">
        <v>47</v>
      </c>
      <c r="E67" s="82">
        <v>7.5258459999999996</v>
      </c>
      <c r="F67" s="82">
        <v>8.3011470000000003</v>
      </c>
      <c r="G67" s="82">
        <v>6.0228840000000003</v>
      </c>
      <c r="H67" s="82">
        <v>6.5279049999999996</v>
      </c>
      <c r="I67" s="82">
        <v>5.7991299999999999</v>
      </c>
      <c r="J67" s="82">
        <v>18.766831</v>
      </c>
      <c r="K67" s="82">
        <v>36.480414000000003</v>
      </c>
      <c r="L67" s="82">
        <v>44.286329000000002</v>
      </c>
      <c r="M67" s="82">
        <v>52.108967999999997</v>
      </c>
      <c r="N67" s="82">
        <v>50.638922999999998</v>
      </c>
      <c r="O67" s="82">
        <v>24.480302999999999</v>
      </c>
      <c r="P67" s="82">
        <v>29.033767000000001</v>
      </c>
      <c r="Q67" s="82">
        <v>26.890181999999999</v>
      </c>
      <c r="R67" s="82">
        <v>24.087747</v>
      </c>
      <c r="S67" s="82">
        <v>40.327244999999998</v>
      </c>
      <c r="T67" s="82">
        <v>35.491436999999998</v>
      </c>
      <c r="U67" s="82">
        <v>26.19332</v>
      </c>
      <c r="V67" s="82">
        <v>22.190894</v>
      </c>
      <c r="W67" s="82">
        <v>9.0988380000000006</v>
      </c>
      <c r="X67" s="82">
        <v>15.184575000000001</v>
      </c>
      <c r="Y67" s="82">
        <v>5.2723420000000001</v>
      </c>
      <c r="Z67" s="82">
        <v>5.788481</v>
      </c>
    </row>
    <row r="68" spans="2:26">
      <c r="B68" s="137"/>
      <c r="C68" s="139" t="s">
        <v>183</v>
      </c>
      <c r="D68" s="142" t="s">
        <v>47</v>
      </c>
      <c r="E68" s="82">
        <v>3.7423679999999999</v>
      </c>
      <c r="F68" s="82">
        <v>4.2097009999999999</v>
      </c>
      <c r="G68" s="82">
        <v>6.3745649999999996</v>
      </c>
      <c r="H68" s="82">
        <v>5.1993799999999997</v>
      </c>
      <c r="I68" s="82">
        <v>8.0023920000000004</v>
      </c>
      <c r="J68" s="82">
        <v>8.847016</v>
      </c>
      <c r="K68" s="82">
        <v>4.0880020000000004</v>
      </c>
      <c r="L68" s="82">
        <v>2.6325449999999999</v>
      </c>
      <c r="M68" s="82">
        <v>1.6860059999999999</v>
      </c>
      <c r="N68" s="82">
        <v>2.1724039999999998</v>
      </c>
      <c r="O68" s="82">
        <v>4.0687389999999999</v>
      </c>
      <c r="P68" s="82">
        <v>2.8918010000000001</v>
      </c>
      <c r="Q68" s="82">
        <v>2.8818030000000001</v>
      </c>
      <c r="R68" s="82">
        <v>4.1953950000000004</v>
      </c>
      <c r="S68" s="82">
        <v>4.3954380000000004</v>
      </c>
      <c r="T68" s="82">
        <v>6.9691179999999999</v>
      </c>
      <c r="U68" s="82">
        <v>4.4178709999999999</v>
      </c>
      <c r="V68" s="82">
        <v>9.3477689999999996</v>
      </c>
      <c r="W68" s="82">
        <v>7.7768870000000003</v>
      </c>
      <c r="X68" s="82">
        <v>8.4258459999999999</v>
      </c>
      <c r="Y68" s="82">
        <v>11.850312000000001</v>
      </c>
      <c r="Z68" s="82">
        <v>25.157630000000001</v>
      </c>
    </row>
    <row r="69" spans="2:26">
      <c r="B69" s="137"/>
      <c r="C69" s="139" t="s">
        <v>184</v>
      </c>
      <c r="D69" s="142" t="s">
        <v>47</v>
      </c>
      <c r="E69" s="82">
        <v>0.85000500000000001</v>
      </c>
      <c r="F69" s="82">
        <v>1.0129440000000001</v>
      </c>
      <c r="G69" s="82">
        <v>1.199606</v>
      </c>
      <c r="H69" s="82">
        <v>1.8159380000000001</v>
      </c>
      <c r="I69" s="82">
        <v>2.98996</v>
      </c>
      <c r="J69" s="82">
        <v>3.259592</v>
      </c>
      <c r="K69" s="82">
        <v>5.1237750000000002</v>
      </c>
      <c r="L69" s="82">
        <v>3.8125580000000001</v>
      </c>
      <c r="M69" s="82">
        <v>2.3638680000000001</v>
      </c>
      <c r="N69" s="82">
        <v>1.3725830000000001</v>
      </c>
      <c r="O69" s="82">
        <v>1.3717200000000001</v>
      </c>
      <c r="P69" s="82">
        <v>1.383626</v>
      </c>
      <c r="Q69" s="82">
        <v>1.595774</v>
      </c>
      <c r="R69" s="82">
        <v>2.2553879999999999</v>
      </c>
      <c r="S69" s="82">
        <v>1.9107559999999999</v>
      </c>
      <c r="T69" s="82">
        <v>2.5057450000000001</v>
      </c>
      <c r="U69" s="82">
        <v>2.853027</v>
      </c>
      <c r="V69" s="82">
        <v>2.8537810000000001</v>
      </c>
      <c r="W69" s="82">
        <v>2.6525259999999999</v>
      </c>
      <c r="X69" s="82">
        <v>4.2638480000000003</v>
      </c>
      <c r="Y69" s="82">
        <v>3.386603</v>
      </c>
      <c r="Z69" s="82">
        <v>3.1765889999999999</v>
      </c>
    </row>
    <row r="70" spans="2:26">
      <c r="B70" s="137"/>
      <c r="C70" s="139" t="s">
        <v>200</v>
      </c>
      <c r="D70" s="142" t="s">
        <v>47</v>
      </c>
      <c r="E70" s="82">
        <v>4.0832699999999997</v>
      </c>
      <c r="F70" s="82">
        <v>5.9856299999999996</v>
      </c>
      <c r="G70" s="82">
        <v>4.708526</v>
      </c>
      <c r="H70" s="82">
        <v>4.9720069999999996</v>
      </c>
      <c r="I70" s="82">
        <v>2.9500609999999998</v>
      </c>
      <c r="J70" s="82">
        <v>7.9996999999999999E-2</v>
      </c>
      <c r="K70" s="82">
        <v>1.2160820000000001</v>
      </c>
      <c r="L70" s="82">
        <v>1.3221890000000001</v>
      </c>
      <c r="M70" s="82">
        <v>2.1376659999999998</v>
      </c>
      <c r="N70" s="82">
        <v>1.822443</v>
      </c>
      <c r="O70" s="82">
        <v>2.1001370000000001</v>
      </c>
      <c r="P70" s="82">
        <v>2.0246149999999998</v>
      </c>
      <c r="Q70" s="82">
        <v>2.396706</v>
      </c>
      <c r="R70" s="82">
        <v>6.9571680000000002</v>
      </c>
      <c r="S70" s="82">
        <v>3.408525</v>
      </c>
      <c r="T70" s="82">
        <v>3.2702170000000002</v>
      </c>
      <c r="U70" s="82">
        <v>2.9036369999999998</v>
      </c>
      <c r="V70" s="82">
        <v>2.1713789999999999</v>
      </c>
      <c r="W70" s="82">
        <v>2.6232009999999999</v>
      </c>
      <c r="X70" s="82">
        <v>2.252739</v>
      </c>
      <c r="Y70" s="82">
        <v>2.3783099999999999</v>
      </c>
      <c r="Z70" s="82">
        <v>2.229304</v>
      </c>
    </row>
    <row r="71" spans="2:26">
      <c r="B71" s="137"/>
      <c r="C71" s="139" t="s">
        <v>185</v>
      </c>
      <c r="D71" s="142" t="s">
        <v>47</v>
      </c>
      <c r="E71" s="82">
        <v>142.721227</v>
      </c>
      <c r="F71" s="82">
        <v>137.21339900000001</v>
      </c>
      <c r="G71" s="82">
        <v>169.436362</v>
      </c>
      <c r="H71" s="82">
        <v>151.99274</v>
      </c>
      <c r="I71" s="82">
        <v>106.21611300000001</v>
      </c>
      <c r="J71" s="82">
        <v>79.668406000000004</v>
      </c>
      <c r="K71" s="82">
        <v>79.968258000000006</v>
      </c>
      <c r="L71" s="82">
        <v>53.656652000000001</v>
      </c>
      <c r="M71" s="82">
        <v>39.405310999999998</v>
      </c>
      <c r="N71" s="82">
        <v>26.310077</v>
      </c>
      <c r="O71" s="82">
        <v>18.510421999999998</v>
      </c>
      <c r="P71" s="82">
        <v>25.748612000000001</v>
      </c>
      <c r="Q71" s="82">
        <v>27.315279</v>
      </c>
      <c r="R71" s="82">
        <v>27.903922999999999</v>
      </c>
      <c r="S71" s="82">
        <v>22.470182999999999</v>
      </c>
      <c r="T71" s="82">
        <v>16.507152000000001</v>
      </c>
      <c r="U71" s="82">
        <v>23.227625</v>
      </c>
      <c r="V71" s="82">
        <v>27.484718999999998</v>
      </c>
      <c r="W71" s="82">
        <v>25.384091000000002</v>
      </c>
      <c r="X71" s="82">
        <v>16.642613000000001</v>
      </c>
      <c r="Y71" s="82">
        <v>10.524641000000001</v>
      </c>
      <c r="Z71" s="82">
        <v>12.801666000000001</v>
      </c>
    </row>
    <row r="72" spans="2:26">
      <c r="B72" s="137"/>
      <c r="C72" s="139" t="s">
        <v>201</v>
      </c>
      <c r="D72" s="142" t="s">
        <v>47</v>
      </c>
      <c r="E72" s="82">
        <v>10.147637</v>
      </c>
      <c r="F72" s="82">
        <v>9.4783550000000005</v>
      </c>
      <c r="G72" s="82">
        <v>11.549026</v>
      </c>
      <c r="H72" s="82">
        <v>9.6482919999999996</v>
      </c>
      <c r="I72" s="82">
        <v>5.6498299999999997</v>
      </c>
      <c r="J72" s="82">
        <v>1.5004630000000001</v>
      </c>
      <c r="K72" s="82">
        <v>0.81472699999999998</v>
      </c>
      <c r="L72" s="82">
        <v>0.57597699999999996</v>
      </c>
      <c r="M72" s="82">
        <v>0.62417599999999995</v>
      </c>
      <c r="N72" s="82">
        <v>0.72148100000000004</v>
      </c>
      <c r="O72" s="82">
        <v>0.23710400000000001</v>
      </c>
      <c r="P72" s="82">
        <v>0.44354500000000002</v>
      </c>
      <c r="Q72" s="82">
        <v>6.2531590000000001</v>
      </c>
      <c r="R72" s="82">
        <v>1.08548</v>
      </c>
      <c r="S72" s="82">
        <v>0.25054500000000002</v>
      </c>
      <c r="T72" s="82">
        <v>0.34748400000000002</v>
      </c>
      <c r="U72" s="82">
        <v>0.57530199999999998</v>
      </c>
      <c r="V72" s="82">
        <v>0.260627</v>
      </c>
      <c r="W72" s="82">
        <v>0.68750699999999998</v>
      </c>
      <c r="X72" s="82">
        <v>1.207403</v>
      </c>
      <c r="Y72" s="82">
        <v>1.444715</v>
      </c>
      <c r="Z72" s="82">
        <v>1.487716</v>
      </c>
    </row>
    <row r="73" spans="2:26">
      <c r="B73" s="137"/>
      <c r="C73" s="139" t="s">
        <v>341</v>
      </c>
      <c r="D73" s="142" t="s">
        <v>47</v>
      </c>
      <c r="E73" s="82" t="s">
        <v>211</v>
      </c>
      <c r="F73" s="82" t="s">
        <v>211</v>
      </c>
      <c r="G73" s="82" t="s">
        <v>211</v>
      </c>
      <c r="H73" s="82" t="s">
        <v>211</v>
      </c>
      <c r="I73" s="82" t="s">
        <v>211</v>
      </c>
      <c r="J73" s="82" t="s">
        <v>211</v>
      </c>
      <c r="K73" s="82" t="s">
        <v>211</v>
      </c>
      <c r="L73" s="82" t="s">
        <v>211</v>
      </c>
      <c r="M73" s="82" t="s">
        <v>211</v>
      </c>
      <c r="N73" s="82" t="s">
        <v>211</v>
      </c>
      <c r="O73" s="82" t="s">
        <v>211</v>
      </c>
      <c r="P73" s="82" t="s">
        <v>211</v>
      </c>
      <c r="Q73" s="82" t="s">
        <v>211</v>
      </c>
      <c r="R73" s="82" t="s">
        <v>211</v>
      </c>
      <c r="S73" s="82" t="s">
        <v>211</v>
      </c>
      <c r="T73" s="82" t="s">
        <v>211</v>
      </c>
      <c r="U73" s="82" t="s">
        <v>211</v>
      </c>
      <c r="V73" s="82" t="s">
        <v>211</v>
      </c>
      <c r="W73" s="82" t="s">
        <v>211</v>
      </c>
      <c r="X73" s="82" t="s">
        <v>211</v>
      </c>
      <c r="Y73" s="82" t="s">
        <v>211</v>
      </c>
      <c r="Z73" s="82" t="s">
        <v>211</v>
      </c>
    </row>
    <row r="74" spans="2:26">
      <c r="B74" s="137"/>
      <c r="C74" s="139" t="s">
        <v>347</v>
      </c>
      <c r="D74" s="142" t="s">
        <v>47</v>
      </c>
      <c r="E74" s="82" t="s">
        <v>211</v>
      </c>
      <c r="F74" s="82" t="s">
        <v>211</v>
      </c>
      <c r="G74" s="82" t="s">
        <v>211</v>
      </c>
      <c r="H74" s="82" t="s">
        <v>211</v>
      </c>
      <c r="I74" s="82" t="s">
        <v>211</v>
      </c>
      <c r="J74" s="82" t="s">
        <v>211</v>
      </c>
      <c r="K74" s="82" t="s">
        <v>211</v>
      </c>
      <c r="L74" s="82" t="s">
        <v>211</v>
      </c>
      <c r="M74" s="82" t="s">
        <v>211</v>
      </c>
      <c r="N74" s="82" t="s">
        <v>211</v>
      </c>
      <c r="O74" s="82" t="s">
        <v>211</v>
      </c>
      <c r="P74" s="82" t="s">
        <v>211</v>
      </c>
      <c r="Q74" s="82" t="s">
        <v>211</v>
      </c>
      <c r="R74" s="82" t="s">
        <v>211</v>
      </c>
      <c r="S74" s="82" t="s">
        <v>211</v>
      </c>
      <c r="T74" s="82" t="s">
        <v>211</v>
      </c>
      <c r="U74" s="82" t="s">
        <v>211</v>
      </c>
      <c r="V74" s="82" t="s">
        <v>211</v>
      </c>
      <c r="W74" s="82" t="s">
        <v>211</v>
      </c>
      <c r="X74" s="82" t="s">
        <v>211</v>
      </c>
      <c r="Y74" s="82" t="s">
        <v>211</v>
      </c>
      <c r="Z74" s="82" t="s">
        <v>211</v>
      </c>
    </row>
    <row r="75" spans="2:26">
      <c r="C75" s="139" t="s">
        <v>343</v>
      </c>
      <c r="D75" s="142" t="s">
        <v>47</v>
      </c>
      <c r="E75" s="82" t="s">
        <v>211</v>
      </c>
      <c r="F75" s="82" t="s">
        <v>211</v>
      </c>
      <c r="G75" s="82" t="s">
        <v>211</v>
      </c>
      <c r="H75" s="82" t="s">
        <v>211</v>
      </c>
      <c r="I75" s="82" t="s">
        <v>211</v>
      </c>
      <c r="J75" s="82" t="s">
        <v>211</v>
      </c>
      <c r="K75" s="82" t="s">
        <v>211</v>
      </c>
      <c r="L75" s="82" t="s">
        <v>211</v>
      </c>
      <c r="M75" s="82" t="s">
        <v>211</v>
      </c>
      <c r="N75" s="82" t="s">
        <v>211</v>
      </c>
      <c r="O75" s="82" t="s">
        <v>211</v>
      </c>
      <c r="P75" s="82" t="s">
        <v>211</v>
      </c>
      <c r="Q75" s="82" t="s">
        <v>211</v>
      </c>
      <c r="R75" s="82" t="s">
        <v>211</v>
      </c>
      <c r="S75" s="82" t="s">
        <v>211</v>
      </c>
      <c r="T75" s="82" t="s">
        <v>211</v>
      </c>
      <c r="U75" s="82" t="s">
        <v>211</v>
      </c>
      <c r="V75" s="82" t="s">
        <v>211</v>
      </c>
      <c r="W75" s="82" t="s">
        <v>211</v>
      </c>
      <c r="X75" s="82" t="s">
        <v>211</v>
      </c>
      <c r="Y75" s="82" t="s">
        <v>211</v>
      </c>
      <c r="Z75" s="82" t="s">
        <v>211</v>
      </c>
    </row>
    <row r="76" spans="2:26">
      <c r="C76" s="139" t="s">
        <v>348</v>
      </c>
      <c r="D76" s="142" t="s">
        <v>47</v>
      </c>
      <c r="E76" s="82" t="s">
        <v>211</v>
      </c>
      <c r="F76" s="82" t="s">
        <v>211</v>
      </c>
      <c r="G76" s="82" t="s">
        <v>211</v>
      </c>
      <c r="H76" s="82" t="s">
        <v>211</v>
      </c>
      <c r="I76" s="82" t="s">
        <v>211</v>
      </c>
      <c r="J76" s="82" t="s">
        <v>211</v>
      </c>
      <c r="K76" s="82" t="s">
        <v>211</v>
      </c>
      <c r="L76" s="82" t="s">
        <v>211</v>
      </c>
      <c r="M76" s="82" t="s">
        <v>211</v>
      </c>
      <c r="N76" s="82" t="s">
        <v>211</v>
      </c>
      <c r="O76" s="82" t="s">
        <v>211</v>
      </c>
      <c r="P76" s="82" t="s">
        <v>211</v>
      </c>
      <c r="Q76" s="82" t="s">
        <v>211</v>
      </c>
      <c r="R76" s="82" t="s">
        <v>211</v>
      </c>
      <c r="S76" s="82" t="s">
        <v>211</v>
      </c>
      <c r="T76" s="82" t="s">
        <v>211</v>
      </c>
      <c r="U76" s="82" t="s">
        <v>211</v>
      </c>
      <c r="V76" s="82" t="s">
        <v>211</v>
      </c>
      <c r="W76" s="82" t="s">
        <v>211</v>
      </c>
      <c r="X76" s="82" t="s">
        <v>211</v>
      </c>
      <c r="Y76" s="82" t="s">
        <v>211</v>
      </c>
      <c r="Z76" s="82" t="s">
        <v>211</v>
      </c>
    </row>
    <row r="77" spans="2:26">
      <c r="C77" s="139" t="s">
        <v>345</v>
      </c>
      <c r="D77" s="142" t="s">
        <v>47</v>
      </c>
      <c r="E77" s="82" t="s">
        <v>211</v>
      </c>
      <c r="F77" s="82" t="s">
        <v>211</v>
      </c>
      <c r="G77" s="82" t="s">
        <v>211</v>
      </c>
      <c r="H77" s="82" t="s">
        <v>211</v>
      </c>
      <c r="I77" s="82" t="s">
        <v>211</v>
      </c>
      <c r="J77" s="82" t="s">
        <v>211</v>
      </c>
      <c r="K77" s="82" t="s">
        <v>211</v>
      </c>
      <c r="L77" s="82" t="s">
        <v>211</v>
      </c>
      <c r="M77" s="82" t="s">
        <v>211</v>
      </c>
      <c r="N77" s="82" t="s">
        <v>211</v>
      </c>
      <c r="O77" s="82" t="s">
        <v>211</v>
      </c>
      <c r="P77" s="82" t="s">
        <v>211</v>
      </c>
      <c r="Q77" s="82" t="s">
        <v>211</v>
      </c>
      <c r="R77" s="82" t="s">
        <v>211</v>
      </c>
      <c r="S77" s="82" t="s">
        <v>211</v>
      </c>
      <c r="T77" s="82" t="s">
        <v>211</v>
      </c>
      <c r="U77" s="82" t="s">
        <v>211</v>
      </c>
      <c r="V77" s="82" t="s">
        <v>211</v>
      </c>
      <c r="W77" s="82" t="s">
        <v>211</v>
      </c>
      <c r="X77" s="82" t="s">
        <v>211</v>
      </c>
      <c r="Y77" s="82" t="s">
        <v>211</v>
      </c>
      <c r="Z77" s="82" t="s">
        <v>211</v>
      </c>
    </row>
    <row r="78" spans="2:26">
      <c r="C78" s="139" t="s">
        <v>87</v>
      </c>
      <c r="D78" s="142" t="s">
        <v>47</v>
      </c>
      <c r="E78" s="82">
        <v>169.07035300000001</v>
      </c>
      <c r="F78" s="82">
        <v>166.201176</v>
      </c>
      <c r="G78" s="82">
        <v>199.29096899999999</v>
      </c>
      <c r="H78" s="82">
        <v>180.156262</v>
      </c>
      <c r="I78" s="82">
        <v>131.60748600000002</v>
      </c>
      <c r="J78" s="82">
        <v>112.122305</v>
      </c>
      <c r="K78" s="82">
        <v>127.69125800000002</v>
      </c>
      <c r="L78" s="82">
        <v>106.28625</v>
      </c>
      <c r="M78" s="82">
        <v>98.325995000000006</v>
      </c>
      <c r="N78" s="82">
        <v>83.037910999999994</v>
      </c>
      <c r="O78" s="82">
        <v>50.768425000000001</v>
      </c>
      <c r="P78" s="82">
        <v>61.525966000000004</v>
      </c>
      <c r="Q78" s="82">
        <v>67.332903000000002</v>
      </c>
      <c r="R78" s="82">
        <v>66.485101</v>
      </c>
      <c r="S78" s="82">
        <v>72.762692000000001</v>
      </c>
      <c r="T78" s="82">
        <v>65.091152999999991</v>
      </c>
      <c r="U78" s="82">
        <v>60.170781999999996</v>
      </c>
      <c r="V78" s="82">
        <v>64.309168999999997</v>
      </c>
      <c r="W78" s="82">
        <v>48.223050000000001</v>
      </c>
      <c r="X78" s="82">
        <v>47.977024</v>
      </c>
      <c r="Y78" s="82">
        <v>34.856923000000002</v>
      </c>
      <c r="Z78" s="82">
        <v>50.641386000000004</v>
      </c>
    </row>
    <row r="79" spans="2:26">
      <c r="B79" s="137"/>
      <c r="C79" s="139"/>
      <c r="D79" s="142"/>
      <c r="E79" s="82"/>
      <c r="F79" s="82"/>
      <c r="G79" s="82"/>
      <c r="H79" s="82"/>
      <c r="I79" s="82"/>
      <c r="J79" s="82"/>
      <c r="K79" s="82"/>
      <c r="L79" s="82"/>
      <c r="M79" s="82"/>
      <c r="N79" s="82"/>
      <c r="O79" s="82"/>
      <c r="P79" s="82"/>
      <c r="Q79" s="82"/>
      <c r="R79" s="82"/>
      <c r="S79" s="82"/>
      <c r="T79" s="82"/>
      <c r="U79" s="82"/>
      <c r="V79" s="82"/>
      <c r="W79" s="82"/>
      <c r="X79" s="82"/>
      <c r="Y79" s="82"/>
      <c r="Z79" s="82"/>
    </row>
    <row r="80" spans="2:26">
      <c r="B80" s="131" t="s">
        <v>51</v>
      </c>
      <c r="C80" s="12"/>
      <c r="D80" s="148"/>
      <c r="E80" s="82"/>
      <c r="F80" s="82"/>
      <c r="G80" s="82"/>
      <c r="H80" s="82"/>
      <c r="I80" s="82"/>
      <c r="J80" s="82"/>
      <c r="K80" s="82"/>
      <c r="L80" s="82"/>
      <c r="M80" s="82"/>
      <c r="N80" s="82"/>
      <c r="O80" s="82"/>
      <c r="P80" s="82"/>
      <c r="Q80" s="82"/>
      <c r="R80" s="82"/>
      <c r="S80" s="82"/>
      <c r="T80" s="82"/>
      <c r="U80" s="82"/>
      <c r="V80" s="82"/>
      <c r="W80" s="82"/>
      <c r="X80" s="82"/>
      <c r="Y80" s="82"/>
      <c r="Z80" s="82"/>
    </row>
    <row r="81" spans="1:28">
      <c r="B81" s="131"/>
      <c r="C81" s="12" t="s">
        <v>93</v>
      </c>
      <c r="D81" s="148" t="s">
        <v>47</v>
      </c>
      <c r="E81" s="82">
        <v>1.5236419999999999</v>
      </c>
      <c r="F81" s="82">
        <v>0.45252900000000001</v>
      </c>
      <c r="G81" s="82">
        <v>0.71523700000000001</v>
      </c>
      <c r="H81" s="82">
        <v>0.16830300000000001</v>
      </c>
      <c r="I81" s="82">
        <v>0.15623699999999999</v>
      </c>
      <c r="J81" s="82">
        <v>2.7185760000000001</v>
      </c>
      <c r="K81" s="82">
        <v>2.0211030000000001</v>
      </c>
      <c r="L81" s="82">
        <v>5.6660219999999999</v>
      </c>
      <c r="M81" s="82">
        <v>13.344175999999999</v>
      </c>
      <c r="N81" s="82">
        <v>15.455441</v>
      </c>
      <c r="O81" s="82">
        <v>36.172814000000002</v>
      </c>
      <c r="P81" s="82">
        <v>59.073923000000001</v>
      </c>
      <c r="Q81" s="82">
        <v>38.935347999999998</v>
      </c>
      <c r="R81" s="82">
        <v>33.367192000000003</v>
      </c>
      <c r="S81" s="82">
        <v>96.947215999999997</v>
      </c>
      <c r="T81" s="82">
        <v>129.78278299999999</v>
      </c>
      <c r="U81" s="82">
        <v>105.681972</v>
      </c>
      <c r="V81" s="82">
        <v>64.177177999999998</v>
      </c>
      <c r="W81" s="82">
        <v>20.691423</v>
      </c>
      <c r="X81" s="82">
        <v>32.895533</v>
      </c>
      <c r="Y81" s="82">
        <v>35.862707</v>
      </c>
      <c r="Z81" s="82">
        <v>68.553478999999996</v>
      </c>
    </row>
    <row r="82" spans="1:28">
      <c r="B82" s="131"/>
      <c r="C82" s="12" t="s">
        <v>94</v>
      </c>
      <c r="D82" s="148" t="s">
        <v>47</v>
      </c>
      <c r="E82" s="82">
        <v>215.59161399999999</v>
      </c>
      <c r="F82" s="82">
        <v>173.32500200000001</v>
      </c>
      <c r="G82" s="82">
        <v>183.964482</v>
      </c>
      <c r="H82" s="82">
        <v>147.65201200000001</v>
      </c>
      <c r="I82" s="82">
        <v>149.10032100000001</v>
      </c>
      <c r="J82" s="82">
        <v>132.56680900000001</v>
      </c>
      <c r="K82" s="82">
        <v>128.26969199999999</v>
      </c>
      <c r="L82" s="82">
        <v>142.883882</v>
      </c>
      <c r="M82" s="82">
        <v>88.482860000000002</v>
      </c>
      <c r="N82" s="82">
        <v>119.839112</v>
      </c>
      <c r="O82" s="82">
        <v>117.205896</v>
      </c>
      <c r="P82" s="82">
        <v>139.469145</v>
      </c>
      <c r="Q82" s="82">
        <v>146.05339699999999</v>
      </c>
      <c r="R82" s="82">
        <v>128.658851</v>
      </c>
      <c r="S82" s="82">
        <v>95.937511999999998</v>
      </c>
      <c r="T82" s="82">
        <v>88.703794000000002</v>
      </c>
      <c r="U82" s="82">
        <v>88.407668000000001</v>
      </c>
      <c r="V82" s="82">
        <v>93.436938999999995</v>
      </c>
      <c r="W82" s="82">
        <v>75.272335999999996</v>
      </c>
      <c r="X82" s="82">
        <v>93.736755000000002</v>
      </c>
      <c r="Y82" s="82">
        <v>30.361839</v>
      </c>
      <c r="Z82" s="82">
        <v>6.5056409999999998</v>
      </c>
    </row>
    <row r="83" spans="1:28">
      <c r="B83" s="131"/>
      <c r="C83" s="12" t="s">
        <v>95</v>
      </c>
      <c r="D83" s="148" t="s">
        <v>47</v>
      </c>
      <c r="E83" s="82">
        <v>100.03493400000001</v>
      </c>
      <c r="F83" s="82">
        <v>118.762258</v>
      </c>
      <c r="G83" s="82">
        <v>105.614321</v>
      </c>
      <c r="H83" s="82">
        <v>99.328052999999997</v>
      </c>
      <c r="I83" s="82">
        <v>103.75828199999999</v>
      </c>
      <c r="J83" s="82">
        <v>107.201694</v>
      </c>
      <c r="K83" s="82">
        <v>112.10656400000001</v>
      </c>
      <c r="L83" s="82">
        <v>97.827888000000002</v>
      </c>
      <c r="M83" s="82">
        <v>95.027062999999998</v>
      </c>
      <c r="N83" s="82">
        <v>64.935603</v>
      </c>
      <c r="O83" s="82">
        <v>33.670108999999997</v>
      </c>
      <c r="P83" s="82">
        <v>49.414033000000003</v>
      </c>
      <c r="Q83" s="82">
        <v>60.127639000000002</v>
      </c>
      <c r="R83" s="82">
        <v>53.627352000000002</v>
      </c>
      <c r="S83" s="82">
        <v>38.012464000000001</v>
      </c>
      <c r="T83" s="82">
        <v>26.968336999999998</v>
      </c>
      <c r="U83" s="82">
        <v>42.227018999999999</v>
      </c>
      <c r="V83" s="82">
        <v>38.766195000000003</v>
      </c>
      <c r="W83" s="82">
        <v>26.790914000000001</v>
      </c>
      <c r="X83" s="82">
        <v>28.367322999999999</v>
      </c>
      <c r="Y83" s="82">
        <v>27.324850999999999</v>
      </c>
      <c r="Z83" s="82">
        <v>24.369299000000002</v>
      </c>
    </row>
    <row r="84" spans="1:28">
      <c r="B84" s="131"/>
      <c r="C84" s="12" t="s">
        <v>96</v>
      </c>
      <c r="D84" s="148" t="s">
        <v>47</v>
      </c>
      <c r="E84" s="82">
        <v>354.09838500000001</v>
      </c>
      <c r="F84" s="82">
        <v>371.60994199999999</v>
      </c>
      <c r="G84" s="82">
        <v>359.54428100000001</v>
      </c>
      <c r="H84" s="82">
        <v>382.33446600000002</v>
      </c>
      <c r="I84" s="82">
        <v>428.09979399999997</v>
      </c>
      <c r="J84" s="82">
        <v>424.981562</v>
      </c>
      <c r="K84" s="82">
        <v>395.23960499999998</v>
      </c>
      <c r="L84" s="82">
        <v>435.580106</v>
      </c>
      <c r="M84" s="82">
        <v>586.26715799999999</v>
      </c>
      <c r="N84" s="82">
        <v>555.91962599999999</v>
      </c>
      <c r="O84" s="82">
        <v>550.86292600000002</v>
      </c>
      <c r="P84" s="82">
        <v>629.74742900000001</v>
      </c>
      <c r="Q84" s="82">
        <v>685.52420199999995</v>
      </c>
      <c r="R84" s="82">
        <v>721.78697699999998</v>
      </c>
      <c r="S84" s="82">
        <v>719.232033</v>
      </c>
      <c r="T84" s="82">
        <v>759.62904800000001</v>
      </c>
      <c r="U84" s="82">
        <v>852.94459500000005</v>
      </c>
      <c r="V84" s="82">
        <v>735.23775899999998</v>
      </c>
      <c r="W84" s="82">
        <v>680.21881399999995</v>
      </c>
      <c r="X84" s="82">
        <v>823.53842599999996</v>
      </c>
      <c r="Y84" s="82">
        <v>731.444391</v>
      </c>
      <c r="Z84" s="82">
        <v>689.10983699999997</v>
      </c>
    </row>
    <row r="85" spans="1:28">
      <c r="B85" s="131"/>
      <c r="C85" s="12" t="s">
        <v>87</v>
      </c>
      <c r="D85" s="148" t="s">
        <v>47</v>
      </c>
      <c r="E85" s="82">
        <v>671.24857499999996</v>
      </c>
      <c r="F85" s="82">
        <v>664.14973099999997</v>
      </c>
      <c r="G85" s="82">
        <v>649.83832099999995</v>
      </c>
      <c r="H85" s="82">
        <v>629.48283400000003</v>
      </c>
      <c r="I85" s="82">
        <v>681.17035299999998</v>
      </c>
      <c r="J85" s="82">
        <v>667.54849899999999</v>
      </c>
      <c r="K85" s="82">
        <v>637.79045499999995</v>
      </c>
      <c r="L85" s="82">
        <v>682.11370299999999</v>
      </c>
      <c r="M85" s="82">
        <v>783.24477899999999</v>
      </c>
      <c r="N85" s="82">
        <v>756.23799299999996</v>
      </c>
      <c r="O85" s="82">
        <v>737.911745</v>
      </c>
      <c r="P85" s="82">
        <v>877.70452999999998</v>
      </c>
      <c r="Q85" s="82">
        <v>930.64058599999998</v>
      </c>
      <c r="R85" s="82">
        <v>937.44037200000002</v>
      </c>
      <c r="S85" s="82">
        <v>950.12922500000002</v>
      </c>
      <c r="T85" s="82">
        <v>1005.083962</v>
      </c>
      <c r="U85" s="82">
        <v>1089.261254</v>
      </c>
      <c r="V85" s="82">
        <v>931.61807099999999</v>
      </c>
      <c r="W85" s="82">
        <v>802.97348699999998</v>
      </c>
      <c r="X85" s="82">
        <v>978.53803700000003</v>
      </c>
      <c r="Y85" s="82">
        <v>824.99390700000004</v>
      </c>
      <c r="Z85" s="82">
        <v>788.53825600000005</v>
      </c>
    </row>
    <row r="86" spans="1:28">
      <c r="B86" s="22" t="s">
        <v>219</v>
      </c>
      <c r="C86" s="11"/>
      <c r="D86" s="148" t="s">
        <v>47</v>
      </c>
      <c r="E86" s="82">
        <v>132.044929</v>
      </c>
      <c r="F86" s="82">
        <v>119.617002</v>
      </c>
      <c r="G86" s="82">
        <v>103.451632</v>
      </c>
      <c r="H86" s="82">
        <v>96.689605</v>
      </c>
      <c r="I86" s="82">
        <v>80.938176999999996</v>
      </c>
      <c r="J86" s="82">
        <v>71.410261000000006</v>
      </c>
      <c r="K86" s="82">
        <v>73.795568000000003</v>
      </c>
      <c r="L86" s="82">
        <v>69.182196000000005</v>
      </c>
      <c r="M86" s="82">
        <v>76.033797000000007</v>
      </c>
      <c r="N86" s="82">
        <v>94.485873999999995</v>
      </c>
      <c r="O86" s="82">
        <v>105.74784200000001</v>
      </c>
      <c r="P86" s="82">
        <v>106.42415699999999</v>
      </c>
      <c r="Q86" s="82">
        <v>79.935556000000005</v>
      </c>
      <c r="R86" s="82">
        <v>62.334795</v>
      </c>
      <c r="S86" s="82">
        <v>70.138211999999996</v>
      </c>
      <c r="T86" s="82">
        <v>76.703096000000002</v>
      </c>
      <c r="U86" s="82">
        <v>75.144531999999998</v>
      </c>
      <c r="V86" s="82">
        <v>75.454342999999994</v>
      </c>
      <c r="W86" s="82">
        <v>72.645899</v>
      </c>
      <c r="X86" s="82">
        <v>90.065635</v>
      </c>
      <c r="Y86" s="82">
        <v>81.125760999999997</v>
      </c>
      <c r="Z86" s="82">
        <v>97.860992999999993</v>
      </c>
    </row>
    <row r="87" spans="1:28">
      <c r="B87" s="22" t="s">
        <v>186</v>
      </c>
      <c r="C87" s="11"/>
      <c r="D87" s="148" t="s">
        <v>47</v>
      </c>
      <c r="E87" s="82">
        <v>49.87133</v>
      </c>
      <c r="F87" s="82">
        <v>52.660051000000003</v>
      </c>
      <c r="G87" s="82">
        <v>96.743341000000001</v>
      </c>
      <c r="H87" s="82">
        <v>140.13219100000001</v>
      </c>
      <c r="I87" s="82">
        <v>175.05047999999999</v>
      </c>
      <c r="J87" s="82">
        <v>251.681534</v>
      </c>
      <c r="K87" s="82">
        <v>234.83506499999999</v>
      </c>
      <c r="L87" s="82">
        <v>227.91884999999999</v>
      </c>
      <c r="M87" s="82">
        <v>240.006258</v>
      </c>
      <c r="N87" s="82">
        <v>240.03225900000001</v>
      </c>
      <c r="O87" s="82">
        <v>230.00340199999999</v>
      </c>
      <c r="P87" s="82">
        <v>241.079994</v>
      </c>
      <c r="Q87" s="82">
        <v>240.92591200000001</v>
      </c>
      <c r="R87" s="82">
        <v>248.585386</v>
      </c>
      <c r="S87" s="82">
        <v>259.886866</v>
      </c>
      <c r="T87" s="82">
        <v>247.84078099999999</v>
      </c>
      <c r="U87" s="82">
        <v>234.11401699999999</v>
      </c>
      <c r="V87" s="82">
        <v>171.05398099999999</v>
      </c>
      <c r="W87" s="82">
        <v>206.15117100000001</v>
      </c>
      <c r="X87" s="82">
        <v>319.031228</v>
      </c>
      <c r="Y87" s="82">
        <v>236.06828400000001</v>
      </c>
      <c r="Z87" s="82">
        <v>218.74523500000001</v>
      </c>
    </row>
    <row r="88" spans="1:28">
      <c r="B88" s="22" t="s">
        <v>202</v>
      </c>
      <c r="C88" s="11"/>
      <c r="D88" s="148" t="s">
        <v>47</v>
      </c>
      <c r="E88" s="82">
        <v>2.1323210000000001</v>
      </c>
      <c r="F88" s="82">
        <v>1.3810770000000001</v>
      </c>
      <c r="G88" s="82">
        <v>4.4978109999999996</v>
      </c>
      <c r="H88" s="82">
        <v>5.6787390000000002</v>
      </c>
      <c r="I88" s="82">
        <v>12.17909</v>
      </c>
      <c r="J88" s="82">
        <v>14.736755</v>
      </c>
      <c r="K88" s="82">
        <v>17.748307</v>
      </c>
      <c r="L88" s="82">
        <v>13.202055</v>
      </c>
      <c r="M88" s="82">
        <v>11.328173</v>
      </c>
      <c r="N88" s="82">
        <v>0.74772499999999997</v>
      </c>
      <c r="O88" s="82">
        <v>0.21437100000000001</v>
      </c>
      <c r="P88" s="82">
        <v>0.298429</v>
      </c>
      <c r="Q88" s="82">
        <v>0.34515299999999999</v>
      </c>
      <c r="R88" s="82">
        <v>0.37128</v>
      </c>
      <c r="S88" s="82">
        <v>0.65565099999999998</v>
      </c>
      <c r="T88" s="82">
        <v>1.1181620000000001</v>
      </c>
      <c r="U88" s="82">
        <v>0.537914</v>
      </c>
      <c r="V88" s="82">
        <v>1.1410689999999999</v>
      </c>
      <c r="W88" s="82">
        <v>0.67545900000000003</v>
      </c>
      <c r="X88" s="82">
        <v>0.64129499999999995</v>
      </c>
      <c r="Y88" s="82">
        <v>0.25253199999999998</v>
      </c>
      <c r="Z88" s="82">
        <v>8.2914000000000002E-2</v>
      </c>
    </row>
    <row r="89" spans="1:28">
      <c r="B89" s="22" t="s">
        <v>399</v>
      </c>
      <c r="C89" s="11"/>
      <c r="D89" s="148" t="s">
        <v>47</v>
      </c>
      <c r="E89" s="82">
        <v>807.95475499999998</v>
      </c>
      <c r="F89" s="82">
        <v>794.43816100000004</v>
      </c>
      <c r="G89" s="82">
        <v>858.24490800000001</v>
      </c>
      <c r="H89" s="82">
        <v>839.037375</v>
      </c>
      <c r="I89" s="82">
        <v>950.29595099999995</v>
      </c>
      <c r="J89" s="82">
        <v>1072.2205590000001</v>
      </c>
      <c r="K89" s="82">
        <v>996.76261499999998</v>
      </c>
      <c r="L89" s="82">
        <v>855.52233100000001</v>
      </c>
      <c r="M89" s="82">
        <v>884.44332899999995</v>
      </c>
      <c r="N89" s="82">
        <v>729.34581900000001</v>
      </c>
      <c r="O89" s="82">
        <v>610.96415300000001</v>
      </c>
      <c r="P89" s="82">
        <v>767.69710299999997</v>
      </c>
      <c r="Q89" s="82">
        <v>953.66210899999999</v>
      </c>
      <c r="R89" s="82">
        <v>1148.809031</v>
      </c>
      <c r="S89" s="82">
        <v>1251.6268520000001</v>
      </c>
      <c r="T89" s="82">
        <v>1328.195839</v>
      </c>
      <c r="U89" s="82">
        <v>1581.7284709999999</v>
      </c>
      <c r="V89" s="82">
        <v>1219.3741130000001</v>
      </c>
      <c r="W89" s="82">
        <v>941.27878299999998</v>
      </c>
      <c r="X89" s="82">
        <v>1163.5238609999999</v>
      </c>
      <c r="Y89" s="82">
        <v>1268.6359910000001</v>
      </c>
      <c r="Z89" s="82">
        <v>1176.621484</v>
      </c>
      <c r="AB89" s="155"/>
    </row>
    <row r="90" spans="1:28">
      <c r="A90" s="131"/>
      <c r="B90" s="12"/>
      <c r="C90" s="147"/>
      <c r="D90" s="148"/>
      <c r="E90" s="82"/>
      <c r="F90" s="82"/>
      <c r="G90" s="82"/>
      <c r="H90" s="82"/>
      <c r="I90" s="82"/>
      <c r="J90" s="82"/>
      <c r="K90" s="82"/>
      <c r="L90" s="82"/>
      <c r="M90" s="82"/>
      <c r="N90" s="82"/>
      <c r="O90" s="82"/>
      <c r="P90" s="82"/>
      <c r="Q90" s="82"/>
      <c r="R90" s="82"/>
      <c r="S90" s="82"/>
      <c r="T90" s="82"/>
      <c r="U90" s="82"/>
      <c r="V90" s="82"/>
      <c r="W90" s="82"/>
      <c r="X90" s="82"/>
      <c r="Y90" s="82"/>
      <c r="Z90" s="82"/>
      <c r="AA90" s="154"/>
    </row>
    <row r="91" spans="1:28">
      <c r="B91" s="149" t="s">
        <v>43</v>
      </c>
      <c r="C91" s="150"/>
      <c r="D91" s="152" t="s">
        <v>47</v>
      </c>
      <c r="E91" s="82">
        <v>2064.2910489999999</v>
      </c>
      <c r="F91" s="82">
        <v>2051.6124989999998</v>
      </c>
      <c r="G91" s="82">
        <v>2156.9726049999999</v>
      </c>
      <c r="H91" s="82">
        <v>2162.218265</v>
      </c>
      <c r="I91" s="82">
        <v>2358.8747109999999</v>
      </c>
      <c r="J91" s="82">
        <v>2472.0463549999999</v>
      </c>
      <c r="K91" s="82">
        <v>2363.6201820000001</v>
      </c>
      <c r="L91" s="82">
        <v>2271.98936</v>
      </c>
      <c r="M91" s="82">
        <v>2468.574012</v>
      </c>
      <c r="N91" s="82">
        <v>2228.9575220000002</v>
      </c>
      <c r="O91" s="82">
        <v>2043.6911339999999</v>
      </c>
      <c r="P91" s="82">
        <v>2528.410946</v>
      </c>
      <c r="Q91" s="82">
        <v>2772.3578689999999</v>
      </c>
      <c r="R91" s="82">
        <v>3116.2469219999998</v>
      </c>
      <c r="S91" s="82">
        <v>3459.7537619999998</v>
      </c>
      <c r="T91" s="82">
        <v>3605.2752719999999</v>
      </c>
      <c r="U91" s="82">
        <v>3923.9894479999998</v>
      </c>
      <c r="V91" s="82">
        <v>3292.9049450000002</v>
      </c>
      <c r="W91" s="82">
        <v>2699.9920139999999</v>
      </c>
      <c r="X91" s="82">
        <v>2994.472667</v>
      </c>
      <c r="Y91" s="82">
        <v>2762.6009600000002</v>
      </c>
      <c r="Z91" s="91">
        <v>2707.8075180000001</v>
      </c>
    </row>
    <row r="92" spans="1:28" ht="60.75" customHeight="1">
      <c r="A92" s="38" t="s">
        <v>2</v>
      </c>
      <c r="B92" s="38"/>
      <c r="C92" s="38"/>
      <c r="D92" s="111"/>
      <c r="E92" s="178" t="s">
        <v>401</v>
      </c>
      <c r="F92" s="178"/>
      <c r="G92" s="178"/>
      <c r="H92" s="178"/>
      <c r="I92" s="178"/>
      <c r="J92" s="178"/>
      <c r="K92" s="178"/>
      <c r="L92" s="178"/>
      <c r="M92" s="178"/>
      <c r="N92" s="178"/>
      <c r="O92" s="178"/>
      <c r="P92" s="178"/>
      <c r="Q92" s="178"/>
      <c r="R92" s="178"/>
      <c r="S92" s="178"/>
      <c r="T92" s="178"/>
      <c r="U92" s="178"/>
      <c r="V92" s="178"/>
      <c r="W92" s="178"/>
      <c r="X92" s="178"/>
      <c r="Y92" s="178"/>
      <c r="Z92" s="178"/>
    </row>
    <row r="93" spans="1:28">
      <c r="A93" t="s">
        <v>2</v>
      </c>
      <c r="X93" s="76"/>
    </row>
    <row r="94" spans="1:28">
      <c r="X94" s="76"/>
    </row>
  </sheetData>
  <mergeCells count="2">
    <mergeCell ref="A2:Y2"/>
    <mergeCell ref="E92:Z92"/>
  </mergeCells>
  <phoneticPr fontId="14" type="noConversion"/>
  <conditionalFormatting sqref="D23">
    <cfRule type="cellIs" dxfId="4" priority="3" operator="lessThan">
      <formula>0</formula>
    </cfRule>
  </conditionalFormatting>
  <conditionalFormatting sqref="D66">
    <cfRule type="cellIs" dxfId="3" priority="2" operator="lessThan">
      <formula>0</formula>
    </cfRule>
  </conditionalFormatting>
  <conditionalFormatting sqref="E6:Z49 W50:Z64 E50:V71 W65:X71 Y65:Z91 E72:X91">
    <cfRule type="cellIs" dxfId="2" priority="15" operator="lessThan">
      <formula>0</formula>
    </cfRule>
  </conditionalFormatting>
  <conditionalFormatting sqref="AA6">
    <cfRule type="cellIs" dxfId="1" priority="10" operator="lessThan">
      <formula>0</formula>
    </cfRule>
  </conditionalFormatting>
  <pageMargins left="0.7" right="0.7" top="0.75" bottom="0.75" header="0.3" footer="0.3"/>
  <headerFooter>
    <oddHeader>&amp;C&amp;"Calibri"&amp;12&amp;KFF0000 OFFICIAL&amp;1#_x000D_</oddHeader>
    <oddFooter>&amp;C_x000D_&amp;1#&amp;"Calibri"&amp;12&amp;KFF0000 OFFICIAL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Note</vt:lpstr>
      <vt:lpstr>Overview</vt:lpstr>
      <vt:lpstr>Native forest area</vt:lpstr>
      <vt:lpstr>Plantation areas</vt:lpstr>
      <vt:lpstr>Plantation estb.</vt:lpstr>
      <vt:lpstr>Logs harvested</vt:lpstr>
      <vt:lpstr>GVP logs</vt:lpstr>
      <vt:lpstr>Vol logs state</vt:lpstr>
      <vt:lpstr>Val logs state</vt:lpstr>
      <vt:lpstr>Logs vol type</vt:lpstr>
      <vt:lpstr>Log price ind</vt:lpstr>
      <vt:lpstr>Logs cons</vt:lpstr>
      <vt:lpstr>Production - annual</vt:lpstr>
      <vt:lpstr>Sawn prod state</vt:lpstr>
      <vt:lpstr>Ind sales - type</vt:lpstr>
      <vt:lpstr>Ind sales - state</vt:lpstr>
      <vt:lpstr>Val add</vt:lpstr>
      <vt:lpstr>Wages</vt:lpstr>
      <vt:lpstr>Employment - LF</vt:lpstr>
      <vt:lpstr>Employment - Census</vt:lpstr>
      <vt:lpstr>Sel price ind - annual</vt:lpstr>
      <vt:lpstr>Sel price ind - quarterly</vt:lpstr>
      <vt:lpstr>App cons - annual</vt:lpstr>
      <vt:lpstr>Housing - annual</vt:lpstr>
      <vt:lpstr>Housing - quarterly</vt:lpstr>
      <vt:lpstr>Rec paper</vt:lpstr>
      <vt:lpstr>Imports</vt:lpstr>
      <vt:lpstr>Exports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Westwood, Tim</dc:creator>
  <cp:lastModifiedBy>Hemmings Kavanagh, Vincent</cp:lastModifiedBy>
  <dcterms:created xsi:type="dcterms:W3CDTF">2021-05-06T23:24:44Z</dcterms:created>
  <dcterms:modified xsi:type="dcterms:W3CDTF">2025-06-16T05:07:09Z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33d8be6-3c40-4052-87a2-9c2adcba8759_Enabled">
    <vt:lpwstr>true</vt:lpwstr>
  </property>
  <property fmtid="{D5CDD505-2E9C-101B-9397-08002B2CF9AE}" pid="3" name="MSIP_Label_933d8be6-3c40-4052-87a2-9c2adcba8759_SetDate">
    <vt:lpwstr>2024-11-07T03:33:57Z</vt:lpwstr>
  </property>
  <property fmtid="{D5CDD505-2E9C-101B-9397-08002B2CF9AE}" pid="4" name="MSIP_Label_933d8be6-3c40-4052-87a2-9c2adcba8759_Method">
    <vt:lpwstr>Privileged</vt:lpwstr>
  </property>
  <property fmtid="{D5CDD505-2E9C-101B-9397-08002B2CF9AE}" pid="5" name="MSIP_Label_933d8be6-3c40-4052-87a2-9c2adcba8759_Name">
    <vt:lpwstr>OFFICIAL</vt:lpwstr>
  </property>
  <property fmtid="{D5CDD505-2E9C-101B-9397-08002B2CF9AE}" pid="6" name="MSIP_Label_933d8be6-3c40-4052-87a2-9c2adcba8759_SiteId">
    <vt:lpwstr>2be67eb7-400c-4b3f-a5a1-1258c0da0696</vt:lpwstr>
  </property>
  <property fmtid="{D5CDD505-2E9C-101B-9397-08002B2CF9AE}" pid="7" name="MSIP_Label_933d8be6-3c40-4052-87a2-9c2adcba8759_ActionId">
    <vt:lpwstr>aba3a49d-1ae8-457e-8ba8-8e30295f3e8c</vt:lpwstr>
  </property>
  <property fmtid="{D5CDD505-2E9C-101B-9397-08002B2CF9AE}" pid="8" name="MSIP_Label_933d8be6-3c40-4052-87a2-9c2adcba8759_ContentBits">
    <vt:lpwstr>3</vt:lpwstr>
  </property>
</Properties>
</file>